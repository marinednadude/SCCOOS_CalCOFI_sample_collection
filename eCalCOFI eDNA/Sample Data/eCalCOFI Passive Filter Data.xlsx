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Sheet1!$A$1:$AJ$773</definedName>
  </definedNames>
  <calcPr/>
</workbook>
</file>

<file path=xl/sharedStrings.xml><?xml version="1.0" encoding="utf-8"?>
<sst xmlns="http://schemas.openxmlformats.org/spreadsheetml/2006/main" count="1338" uniqueCount="259">
  <si>
    <t>Cruise</t>
  </si>
  <si>
    <t>Name</t>
  </si>
  <si>
    <t>Sample Name</t>
  </si>
  <si>
    <t>Method</t>
  </si>
  <si>
    <t>Passive Device</t>
  </si>
  <si>
    <t>Replicate</t>
  </si>
  <si>
    <t>Date (PDT)</t>
  </si>
  <si>
    <t>Order Occ</t>
  </si>
  <si>
    <t>Station</t>
  </si>
  <si>
    <t>Site</t>
  </si>
  <si>
    <t>Depth</t>
  </si>
  <si>
    <t>Bottle</t>
  </si>
  <si>
    <t>Time of Underway Collection</t>
  </si>
  <si>
    <t>Time of CTD to Bottle (PDT)</t>
  </si>
  <si>
    <t>Time Passive In (PDT)</t>
  </si>
  <si>
    <t>Time CTD at Depth (PDT)</t>
  </si>
  <si>
    <t>Time Passive Out (PDT)</t>
  </si>
  <si>
    <t>Time Filtered</t>
  </si>
  <si>
    <t>Volume</t>
  </si>
  <si>
    <t>Lat CTD IN</t>
  </si>
  <si>
    <t>Lon CTD In</t>
  </si>
  <si>
    <t>Ecological Notes</t>
  </si>
  <si>
    <t>Processing Notes</t>
  </si>
  <si>
    <t>2210RL</t>
  </si>
  <si>
    <t>001_PF_CTD_01</t>
  </si>
  <si>
    <t>Passive-Filter</t>
  </si>
  <si>
    <t>CTD</t>
  </si>
  <si>
    <t>80.7 59.9</t>
  </si>
  <si>
    <t>2210RL_001</t>
  </si>
  <si>
    <t>3402.0297N</t>
  </si>
  <si>
    <t>12103.3799W</t>
  </si>
  <si>
    <t>Need to get depth, flow, and deployment time from Amy</t>
  </si>
  <si>
    <t>001_PF_CTD_02</t>
  </si>
  <si>
    <t>001_PF_CTD_03</t>
  </si>
  <si>
    <t>001_PF_Man_01</t>
  </si>
  <si>
    <t>Man</t>
  </si>
  <si>
    <t>001_PF_Man_02</t>
  </si>
  <si>
    <t>001_PF_Man_03</t>
  </si>
  <si>
    <t>001_PF_Bon_01</t>
  </si>
  <si>
    <t>Bon</t>
  </si>
  <si>
    <t>001_PF_Bon_02</t>
  </si>
  <si>
    <t>001_PF_Bon_03</t>
  </si>
  <si>
    <t>001_PF_Blank</t>
  </si>
  <si>
    <t>NA</t>
  </si>
  <si>
    <t>002_PF_CTD_01</t>
  </si>
  <si>
    <t>81.2 53.9</t>
  </si>
  <si>
    <t>2210RL_002</t>
  </si>
  <si>
    <t>3408.5952N</t>
  </si>
  <si>
    <t>12035.5198W</t>
  </si>
  <si>
    <t>passive filter sat on deck for 20 minutes before being deployed</t>
  </si>
  <si>
    <t>002_PF_CTD_02</t>
  </si>
  <si>
    <t>002_PF_CTD_03</t>
  </si>
  <si>
    <t>002_PF_Man_01</t>
  </si>
  <si>
    <t>002_PF_Man_02</t>
  </si>
  <si>
    <t>002_PF_Man_03</t>
  </si>
  <si>
    <t>002_PF_Bon_01</t>
  </si>
  <si>
    <t>002_PF_Bon_02</t>
  </si>
  <si>
    <t>002_PF_Bon_03</t>
  </si>
  <si>
    <t>002_PF_Blank</t>
  </si>
  <si>
    <t>003_PF_CTD_01</t>
  </si>
  <si>
    <t>82.7 46.1</t>
  </si>
  <si>
    <t>2210RL_003</t>
  </si>
  <si>
    <t>3408.3073N</t>
  </si>
  <si>
    <t>11952.5555W</t>
  </si>
  <si>
    <t>pod of 100 common dolphins on station at the surface</t>
  </si>
  <si>
    <t>003_PF_CTD_02</t>
  </si>
  <si>
    <t>003_PF_CTD_03</t>
  </si>
  <si>
    <t>003_PF_Man_01</t>
  </si>
  <si>
    <t>003_PF_Man_02</t>
  </si>
  <si>
    <t>003_PF_Man_03</t>
  </si>
  <si>
    <t>003_PF_Bon_01</t>
  </si>
  <si>
    <t>003_PF_Bon_02</t>
  </si>
  <si>
    <t>003_PF_Bon_03</t>
  </si>
  <si>
    <t>fell into the cod end of bongo sample</t>
  </si>
  <si>
    <t>003_PF_Blank</t>
  </si>
  <si>
    <t>004_PF_CTD_01</t>
  </si>
  <si>
    <t>84.0 41.7</t>
  </si>
  <si>
    <t>2210RL_004</t>
  </si>
  <si>
    <t>3403.3707N</t>
  </si>
  <si>
    <t>11924.2062W</t>
  </si>
  <si>
    <t>common dolphins, humpbacks, maybe a bottlenose dolphin</t>
  </si>
  <si>
    <t>004_PF_CTD_02</t>
  </si>
  <si>
    <t>004_PF_CTD_03</t>
  </si>
  <si>
    <t>004_PF_Man_01</t>
  </si>
  <si>
    <t>004_PF_Man_02</t>
  </si>
  <si>
    <t>004_PF_Man_03</t>
  </si>
  <si>
    <t>004_PF_Bon_01</t>
  </si>
  <si>
    <t>004_PF_Bon_02</t>
  </si>
  <si>
    <t>004_PF_Bon_03</t>
  </si>
  <si>
    <t>004_PF_Blank</t>
  </si>
  <si>
    <t>005_PF_CTD_01</t>
  </si>
  <si>
    <t>84.5 43.5</t>
  </si>
  <si>
    <t>2210RL_005</t>
  </si>
  <si>
    <t>3355.6954N</t>
  </si>
  <si>
    <t>11928.5240W</t>
  </si>
  <si>
    <t>005_PF_CTD_02</t>
  </si>
  <si>
    <t>005_PF_CTD_03</t>
  </si>
  <si>
    <t>005_PF_Man_01</t>
  </si>
  <si>
    <t>005_PF_Man_02</t>
  </si>
  <si>
    <t>005_PF_Man_03</t>
  </si>
  <si>
    <t>005_PF_Bon_01</t>
  </si>
  <si>
    <t>005_PF_Bon_02</t>
  </si>
  <si>
    <t>005_PF_Bon_03</t>
  </si>
  <si>
    <t>005_PF_Blank</t>
  </si>
  <si>
    <t>006_PF_CTD_01</t>
  </si>
  <si>
    <t>76.7 55.0</t>
  </si>
  <si>
    <t>2210RL_006</t>
  </si>
  <si>
    <t>3452.7351N</t>
  </si>
  <si>
    <t>12112.9274W</t>
  </si>
  <si>
    <t>006_PF_CTD_02</t>
  </si>
  <si>
    <t>006_PF_CTD_03</t>
  </si>
  <si>
    <t>006_PF_Man_01</t>
  </si>
  <si>
    <t>006_PF_Man_02</t>
  </si>
  <si>
    <t>006_PF_Man_03</t>
  </si>
  <si>
    <t>006_PF_Bon_01</t>
  </si>
  <si>
    <t>006_PF_Bon_02</t>
  </si>
  <si>
    <t>006_PF_Bon_03</t>
  </si>
  <si>
    <t>006_PF_Blank</t>
  </si>
  <si>
    <t>007_PF_CTD_01</t>
  </si>
  <si>
    <t>76.7 51.0</t>
  </si>
  <si>
    <t>2210RL_007</t>
  </si>
  <si>
    <t>3501.3327N</t>
  </si>
  <si>
    <t>12055.0781W</t>
  </si>
  <si>
    <t>smell of sewage on station, smell in lab, and on all following stations for the trip</t>
  </si>
  <si>
    <t>007_PF_CTD_02</t>
  </si>
  <si>
    <t>007_PF_CTD_03</t>
  </si>
  <si>
    <t>007_PF_Bon_01</t>
  </si>
  <si>
    <t>007_PF_Bon_02</t>
  </si>
  <si>
    <t>007_PF_Bon_03</t>
  </si>
  <si>
    <t>007_PF_Man_01</t>
  </si>
  <si>
    <t>007_PF_Man_02</t>
  </si>
  <si>
    <t>007_PF_Man_03</t>
  </si>
  <si>
    <t>007_PF_Blank</t>
  </si>
  <si>
    <t>008_PF_CTD_01</t>
  </si>
  <si>
    <t>76.7 49.0</t>
  </si>
  <si>
    <t>2210RL_008</t>
  </si>
  <si>
    <t>3504.8984N</t>
  </si>
  <si>
    <t>12047.7323W</t>
  </si>
  <si>
    <t>008_PF_CTD_02</t>
  </si>
  <si>
    <t>008_PF_CTD_03</t>
  </si>
  <si>
    <t>008_PF_Man_01</t>
  </si>
  <si>
    <t>008_PF_Man_02</t>
  </si>
  <si>
    <t>008_PF_Man_03</t>
  </si>
  <si>
    <t>008_PF_Bon_01</t>
  </si>
  <si>
    <t>008_PF_Bon_02</t>
  </si>
  <si>
    <t>008_PF_Bon_03</t>
  </si>
  <si>
    <t>008_PF_Blank</t>
  </si>
  <si>
    <t>009_PF_CTD_01</t>
  </si>
  <si>
    <t>73.3 60.0</t>
  </si>
  <si>
    <t>2210RL_009</t>
  </si>
  <si>
    <t>3518.5059N</t>
  </si>
  <si>
    <t>12157.5180W</t>
  </si>
  <si>
    <t>009_PF_CTD_02</t>
  </si>
  <si>
    <t>009_PF_CTD_03</t>
  </si>
  <si>
    <t>009_PF_Bon_01</t>
  </si>
  <si>
    <t>009_PF_Bon_02</t>
  </si>
  <si>
    <t>009_PF_Bon_03</t>
  </si>
  <si>
    <t>009_PF_Man_01</t>
  </si>
  <si>
    <t>009_PF_Man_02</t>
  </si>
  <si>
    <t>009_PF_Man_03</t>
  </si>
  <si>
    <t>009_PF_Blank</t>
  </si>
  <si>
    <t>010_PF_CTD_01</t>
  </si>
  <si>
    <t>73.3 55.0</t>
  </si>
  <si>
    <t>2210RL_010</t>
  </si>
  <si>
    <t>3528.8235N</t>
  </si>
  <si>
    <t>12136.8892W</t>
  </si>
  <si>
    <t>010_PF_CTD_02</t>
  </si>
  <si>
    <t>010_PF_CTD_03</t>
  </si>
  <si>
    <t>010_PF_Bon_01</t>
  </si>
  <si>
    <t>010_PF_Bon_02</t>
  </si>
  <si>
    <t>010_PF_Bon_03</t>
  </si>
  <si>
    <t>010_PF_Man_01</t>
  </si>
  <si>
    <t>010_PF_Man_02</t>
  </si>
  <si>
    <t>010_PF_Man_03</t>
  </si>
  <si>
    <t>010_PF_Blank</t>
  </si>
  <si>
    <t>011_PF_CTD_01</t>
  </si>
  <si>
    <t>73.3 52.1</t>
  </si>
  <si>
    <t>2210RL_011</t>
  </si>
  <si>
    <t>3534.4531N</t>
  </si>
  <si>
    <t>12125.0337W</t>
  </si>
  <si>
    <t>011_PF_CTD_02</t>
  </si>
  <si>
    <t>011_PF_CTD_03</t>
  </si>
  <si>
    <t>011_PF_Bon_01</t>
  </si>
  <si>
    <t>011_PF_Bon_02</t>
  </si>
  <si>
    <t>011_PF_Bon_03</t>
  </si>
  <si>
    <t>011_PF_Man_01</t>
  </si>
  <si>
    <t>011_PF_Man_02</t>
  </si>
  <si>
    <t>011_PF_Man_03</t>
  </si>
  <si>
    <t>73.3 50.0</t>
  </si>
  <si>
    <t>2210RL_012</t>
  </si>
  <si>
    <t>3538.0413N</t>
  </si>
  <si>
    <t>12117.2853W</t>
  </si>
  <si>
    <t>011_PF_Blank</t>
  </si>
  <si>
    <t>012_PF_CTD_01</t>
  </si>
  <si>
    <t>012_PF_CTD_02</t>
  </si>
  <si>
    <t>012_PF_CTD_03</t>
  </si>
  <si>
    <t>012_PF_Man_01</t>
  </si>
  <si>
    <t>fell into manta net, contaminated with specimens</t>
  </si>
  <si>
    <t>012_PF_Man_02</t>
  </si>
  <si>
    <t>012_PF_Man_03</t>
  </si>
  <si>
    <t>012_PF_Bon_01</t>
  </si>
  <si>
    <t>012_PF_Bon_02</t>
  </si>
  <si>
    <t>012_PF_Bon_03</t>
  </si>
  <si>
    <t>012_PF_Blank</t>
  </si>
  <si>
    <t>013_PF_CTD_01</t>
  </si>
  <si>
    <t>70.0 66.7</t>
  </si>
  <si>
    <t>2210RL_013</t>
  </si>
  <si>
    <t>3539.5717N</t>
  </si>
  <si>
    <t>12250.1870W</t>
  </si>
  <si>
    <t>013_PF_CTD_02</t>
  </si>
  <si>
    <t>013_PF_CTD_03</t>
  </si>
  <si>
    <t>013_PF_Man_01</t>
  </si>
  <si>
    <t>013_PF_Man_02</t>
  </si>
  <si>
    <t>013_PF_Man_03</t>
  </si>
  <si>
    <t>013_PF_Bon_01</t>
  </si>
  <si>
    <t>013_PF_Bon_02</t>
  </si>
  <si>
    <t>013_PF_Bon_03</t>
  </si>
  <si>
    <t>013_PF_Blank</t>
  </si>
  <si>
    <t>014_PF_CTD_01</t>
  </si>
  <si>
    <t>70.0 63.6</t>
  </si>
  <si>
    <t>2210RL_014</t>
  </si>
  <si>
    <t>3545.8520N</t>
  </si>
  <si>
    <t>12237.2647W</t>
  </si>
  <si>
    <t>014_PF_CTD_02</t>
  </si>
  <si>
    <t>014_PF_CTD_03</t>
  </si>
  <si>
    <t>014_PF_Bon_01</t>
  </si>
  <si>
    <t>014_PF_Bon_02</t>
  </si>
  <si>
    <t>014_PF_Bon_03</t>
  </si>
  <si>
    <t>014_PF_Man_01</t>
  </si>
  <si>
    <t>014_PF_Man_02</t>
  </si>
  <si>
    <t>014_PF_Man_03</t>
  </si>
  <si>
    <t>014_PF_Blank</t>
  </si>
  <si>
    <t>015_PF_CTD_01</t>
  </si>
  <si>
    <t>68.1 55.9</t>
  </si>
  <si>
    <t>2210RL_015</t>
  </si>
  <si>
    <t>3620.7852N</t>
  </si>
  <si>
    <t>12218.6232W</t>
  </si>
  <si>
    <t>015_PF_CTD_02</t>
  </si>
  <si>
    <t>015_PF_CTD_03</t>
  </si>
  <si>
    <t>015_PF_Man_01</t>
  </si>
  <si>
    <t>015_PF_Man_02</t>
  </si>
  <si>
    <t>015_PF_Man_03</t>
  </si>
  <si>
    <t>015_PF_Bon_01</t>
  </si>
  <si>
    <t>015_PF_Bon_02</t>
  </si>
  <si>
    <t>015_PF_Bon_03</t>
  </si>
  <si>
    <t>016_PF_CTD_01</t>
  </si>
  <si>
    <t>83.6 51.5</t>
  </si>
  <si>
    <t>2210RL_016</t>
  </si>
  <si>
    <t>3348.6080N</t>
  </si>
  <si>
    <t>12007.7087W</t>
  </si>
  <si>
    <t>016_PF_CTD_02</t>
  </si>
  <si>
    <t>016_PF_CTD_03</t>
  </si>
  <si>
    <t>016_PF_Man_01</t>
  </si>
  <si>
    <t>016_PF_Man_02</t>
  </si>
  <si>
    <t>016_PF_Man_03</t>
  </si>
  <si>
    <t>016_PF_Bon_01</t>
  </si>
  <si>
    <t>016_PF_Bon_02</t>
  </si>
  <si>
    <t>016_PF_Bon_03</t>
  </si>
  <si>
    <t>016_PF_Blank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</si>
</sst>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4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21" xfId="0" applyAlignment="1" applyFont="1" applyNumberFormat="1">
      <alignment horizontal="right" vertical="bottom"/>
    </xf>
    <xf borderId="0" fillId="0" fontId="2" numFmtId="21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" t="s">
        <v>23</v>
      </c>
      <c r="B2" s="4" t="s">
        <v>24</v>
      </c>
      <c r="C2" s="4" t="str">
        <f t="shared" ref="C2:C160" si="1">CONCATENATE(A2,"_",B2)</f>
        <v>2210RL_001_PF_CTD_01</v>
      </c>
      <c r="D2" s="4" t="s">
        <v>25</v>
      </c>
      <c r="E2" s="5" t="s">
        <v>26</v>
      </c>
      <c r="F2" s="6">
        <v>1.0</v>
      </c>
      <c r="G2" s="7">
        <v>44847.0</v>
      </c>
      <c r="H2" s="8">
        <v>1.0</v>
      </c>
      <c r="I2" s="9" t="s">
        <v>27</v>
      </c>
      <c r="J2" s="4" t="s">
        <v>28</v>
      </c>
      <c r="K2" s="5"/>
      <c r="L2" s="4"/>
      <c r="M2" s="4"/>
      <c r="N2" s="4"/>
      <c r="O2" s="10">
        <v>0.5561111111111111</v>
      </c>
      <c r="P2" s="10">
        <v>0.5709027777777778</v>
      </c>
      <c r="Q2" s="10">
        <v>0.5861574074074074</v>
      </c>
      <c r="R2" s="11">
        <f t="shared" ref="R2:R10" si="2">Q2-O2</f>
        <v>0.0300462963</v>
      </c>
      <c r="S2" s="4"/>
      <c r="T2" s="9" t="s">
        <v>29</v>
      </c>
      <c r="U2" s="9" t="s">
        <v>30</v>
      </c>
      <c r="V2" s="4"/>
      <c r="W2" s="12" t="s">
        <v>31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4" t="s">
        <v>23</v>
      </c>
      <c r="B3" s="4" t="s">
        <v>32</v>
      </c>
      <c r="C3" s="4" t="str">
        <f t="shared" si="1"/>
        <v>2210RL_001_PF_CTD_02</v>
      </c>
      <c r="D3" s="4" t="s">
        <v>25</v>
      </c>
      <c r="E3" s="5" t="s">
        <v>26</v>
      </c>
      <c r="F3" s="6">
        <v>2.0</v>
      </c>
      <c r="G3" s="7">
        <v>44847.0</v>
      </c>
      <c r="H3" s="8">
        <v>1.0</v>
      </c>
      <c r="I3" s="9" t="s">
        <v>27</v>
      </c>
      <c r="J3" s="4" t="s">
        <v>28</v>
      </c>
      <c r="K3" s="5"/>
      <c r="L3" s="4"/>
      <c r="M3" s="4"/>
      <c r="N3" s="4"/>
      <c r="O3" s="10">
        <v>0.5561111111111111</v>
      </c>
      <c r="P3" s="10">
        <v>0.5709027777777778</v>
      </c>
      <c r="Q3" s="10">
        <v>0.5861574074074074</v>
      </c>
      <c r="R3" s="11">
        <f t="shared" si="2"/>
        <v>0.0300462963</v>
      </c>
      <c r="S3" s="4"/>
      <c r="T3" s="9" t="s">
        <v>29</v>
      </c>
      <c r="U3" s="9" t="s">
        <v>30</v>
      </c>
      <c r="V3" s="4"/>
      <c r="W3" s="12" t="s">
        <v>31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4" t="s">
        <v>23</v>
      </c>
      <c r="B4" s="4" t="s">
        <v>33</v>
      </c>
      <c r="C4" s="4" t="str">
        <f t="shared" si="1"/>
        <v>2210RL_001_PF_CTD_03</v>
      </c>
      <c r="D4" s="4" t="s">
        <v>25</v>
      </c>
      <c r="E4" s="5" t="s">
        <v>26</v>
      </c>
      <c r="F4" s="6">
        <v>3.0</v>
      </c>
      <c r="G4" s="7">
        <v>44847.0</v>
      </c>
      <c r="H4" s="8">
        <v>1.0</v>
      </c>
      <c r="I4" s="9" t="s">
        <v>27</v>
      </c>
      <c r="J4" s="4" t="s">
        <v>28</v>
      </c>
      <c r="K4" s="5"/>
      <c r="L4" s="4"/>
      <c r="M4" s="4"/>
      <c r="N4" s="4"/>
      <c r="O4" s="10">
        <v>0.5561111111111111</v>
      </c>
      <c r="P4" s="10">
        <v>0.5709027777777778</v>
      </c>
      <c r="Q4" s="10">
        <v>0.5861574074074074</v>
      </c>
      <c r="R4" s="11">
        <f t="shared" si="2"/>
        <v>0.0300462963</v>
      </c>
      <c r="S4" s="4"/>
      <c r="T4" s="9" t="s">
        <v>29</v>
      </c>
      <c r="U4" s="9" t="s">
        <v>30</v>
      </c>
      <c r="V4" s="4"/>
      <c r="W4" s="12" t="s">
        <v>31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4" t="s">
        <v>23</v>
      </c>
      <c r="B5" s="4" t="s">
        <v>34</v>
      </c>
      <c r="C5" s="4" t="str">
        <f t="shared" si="1"/>
        <v>2210RL_001_PF_Man_01</v>
      </c>
      <c r="D5" s="4" t="s">
        <v>25</v>
      </c>
      <c r="E5" s="5" t="s">
        <v>35</v>
      </c>
      <c r="F5" s="6">
        <v>1.0</v>
      </c>
      <c r="G5" s="7">
        <v>44847.0</v>
      </c>
      <c r="H5" s="8">
        <v>1.0</v>
      </c>
      <c r="I5" s="9" t="s">
        <v>27</v>
      </c>
      <c r="J5" s="4" t="s">
        <v>28</v>
      </c>
      <c r="K5" s="5"/>
      <c r="L5" s="4"/>
      <c r="M5" s="4"/>
      <c r="N5" s="4"/>
      <c r="O5" s="10">
        <v>0.6030092592592593</v>
      </c>
      <c r="P5" s="4"/>
      <c r="Q5" s="10">
        <v>0.6141435185185186</v>
      </c>
      <c r="R5" s="11">
        <f t="shared" si="2"/>
        <v>0.01113425926</v>
      </c>
      <c r="S5" s="4"/>
      <c r="T5" s="9" t="s">
        <v>29</v>
      </c>
      <c r="U5" s="9" t="s">
        <v>30</v>
      </c>
      <c r="V5" s="4"/>
      <c r="W5" s="12" t="s">
        <v>31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4" t="s">
        <v>23</v>
      </c>
      <c r="B6" s="4" t="s">
        <v>36</v>
      </c>
      <c r="C6" s="4" t="str">
        <f t="shared" si="1"/>
        <v>2210RL_001_PF_Man_02</v>
      </c>
      <c r="D6" s="4" t="s">
        <v>25</v>
      </c>
      <c r="E6" s="5" t="s">
        <v>35</v>
      </c>
      <c r="F6" s="6">
        <v>2.0</v>
      </c>
      <c r="G6" s="7">
        <v>44847.0</v>
      </c>
      <c r="H6" s="8">
        <v>1.0</v>
      </c>
      <c r="I6" s="9" t="s">
        <v>27</v>
      </c>
      <c r="J6" s="4" t="s">
        <v>28</v>
      </c>
      <c r="K6" s="5"/>
      <c r="L6" s="4"/>
      <c r="M6" s="4"/>
      <c r="N6" s="4"/>
      <c r="O6" s="10">
        <v>0.6030092592592593</v>
      </c>
      <c r="P6" s="4"/>
      <c r="Q6" s="10">
        <v>0.6141435185185186</v>
      </c>
      <c r="R6" s="11">
        <f t="shared" si="2"/>
        <v>0.01113425926</v>
      </c>
      <c r="S6" s="4"/>
      <c r="T6" s="9" t="s">
        <v>29</v>
      </c>
      <c r="U6" s="9" t="s">
        <v>30</v>
      </c>
      <c r="V6" s="4"/>
      <c r="W6" s="12" t="s">
        <v>31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4" t="s">
        <v>23</v>
      </c>
      <c r="B7" s="4" t="s">
        <v>37</v>
      </c>
      <c r="C7" s="4" t="str">
        <f t="shared" si="1"/>
        <v>2210RL_001_PF_Man_03</v>
      </c>
      <c r="D7" s="4" t="s">
        <v>25</v>
      </c>
      <c r="E7" s="5" t="s">
        <v>35</v>
      </c>
      <c r="F7" s="6">
        <v>3.0</v>
      </c>
      <c r="G7" s="7">
        <v>44847.0</v>
      </c>
      <c r="H7" s="8">
        <v>1.0</v>
      </c>
      <c r="I7" s="9" t="s">
        <v>27</v>
      </c>
      <c r="J7" s="4" t="s">
        <v>28</v>
      </c>
      <c r="K7" s="5"/>
      <c r="L7" s="4"/>
      <c r="M7" s="4"/>
      <c r="N7" s="4"/>
      <c r="O7" s="10">
        <v>0.6030092592592593</v>
      </c>
      <c r="P7" s="4"/>
      <c r="Q7" s="10">
        <v>0.6141435185185186</v>
      </c>
      <c r="R7" s="11">
        <f t="shared" si="2"/>
        <v>0.01113425926</v>
      </c>
      <c r="S7" s="4"/>
      <c r="T7" s="9" t="s">
        <v>29</v>
      </c>
      <c r="U7" s="9" t="s">
        <v>30</v>
      </c>
      <c r="V7" s="4"/>
      <c r="W7" s="12" t="s">
        <v>31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4" t="s">
        <v>23</v>
      </c>
      <c r="B8" s="4" t="s">
        <v>38</v>
      </c>
      <c r="C8" s="4" t="str">
        <f t="shared" si="1"/>
        <v>2210RL_001_PF_Bon_01</v>
      </c>
      <c r="D8" s="4" t="s">
        <v>25</v>
      </c>
      <c r="E8" s="5" t="s">
        <v>39</v>
      </c>
      <c r="F8" s="6">
        <v>1.0</v>
      </c>
      <c r="G8" s="7">
        <v>44847.0</v>
      </c>
      <c r="H8" s="8">
        <v>1.0</v>
      </c>
      <c r="I8" s="9" t="s">
        <v>27</v>
      </c>
      <c r="J8" s="4" t="s">
        <v>28</v>
      </c>
      <c r="K8" s="5"/>
      <c r="L8" s="4"/>
      <c r="M8" s="4"/>
      <c r="N8" s="4"/>
      <c r="O8" s="10">
        <v>0.620636574074074</v>
      </c>
      <c r="P8" s="4"/>
      <c r="Q8" s="10">
        <v>0.6359375</v>
      </c>
      <c r="R8" s="11">
        <f t="shared" si="2"/>
        <v>0.01530092593</v>
      </c>
      <c r="S8" s="4"/>
      <c r="T8" s="9" t="s">
        <v>29</v>
      </c>
      <c r="U8" s="9" t="s">
        <v>30</v>
      </c>
      <c r="V8" s="4"/>
      <c r="W8" s="12" t="s">
        <v>31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4" t="s">
        <v>23</v>
      </c>
      <c r="B9" s="4" t="s">
        <v>40</v>
      </c>
      <c r="C9" s="4" t="str">
        <f t="shared" si="1"/>
        <v>2210RL_001_PF_Bon_02</v>
      </c>
      <c r="D9" s="4" t="s">
        <v>25</v>
      </c>
      <c r="E9" s="5" t="s">
        <v>39</v>
      </c>
      <c r="F9" s="6">
        <v>2.0</v>
      </c>
      <c r="G9" s="7">
        <v>44847.0</v>
      </c>
      <c r="H9" s="8">
        <v>1.0</v>
      </c>
      <c r="I9" s="9" t="s">
        <v>27</v>
      </c>
      <c r="J9" s="4" t="s">
        <v>28</v>
      </c>
      <c r="K9" s="5"/>
      <c r="L9" s="4"/>
      <c r="M9" s="4"/>
      <c r="N9" s="4"/>
      <c r="O9" s="10">
        <v>0.620636574074074</v>
      </c>
      <c r="P9" s="4"/>
      <c r="Q9" s="10">
        <v>0.6359375</v>
      </c>
      <c r="R9" s="11">
        <f t="shared" si="2"/>
        <v>0.01530092593</v>
      </c>
      <c r="S9" s="4"/>
      <c r="T9" s="9" t="s">
        <v>29</v>
      </c>
      <c r="U9" s="9" t="s">
        <v>30</v>
      </c>
      <c r="V9" s="4"/>
      <c r="W9" s="12" t="s">
        <v>31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4" t="s">
        <v>23</v>
      </c>
      <c r="B10" s="4" t="s">
        <v>41</v>
      </c>
      <c r="C10" s="4" t="str">
        <f t="shared" si="1"/>
        <v>2210RL_001_PF_Bon_03</v>
      </c>
      <c r="D10" s="4" t="s">
        <v>25</v>
      </c>
      <c r="E10" s="5" t="s">
        <v>39</v>
      </c>
      <c r="F10" s="6">
        <v>3.0</v>
      </c>
      <c r="G10" s="7">
        <v>44847.0</v>
      </c>
      <c r="H10" s="8">
        <v>1.0</v>
      </c>
      <c r="I10" s="9" t="s">
        <v>27</v>
      </c>
      <c r="J10" s="4" t="s">
        <v>28</v>
      </c>
      <c r="K10" s="5"/>
      <c r="L10" s="4"/>
      <c r="M10" s="4"/>
      <c r="N10" s="4"/>
      <c r="O10" s="10">
        <v>0.620636574074074</v>
      </c>
      <c r="P10" s="4"/>
      <c r="Q10" s="10">
        <v>0.6359375</v>
      </c>
      <c r="R10" s="11">
        <f t="shared" si="2"/>
        <v>0.01530092593</v>
      </c>
      <c r="S10" s="4"/>
      <c r="T10" s="9" t="s">
        <v>29</v>
      </c>
      <c r="U10" s="9" t="s">
        <v>30</v>
      </c>
      <c r="V10" s="4"/>
      <c r="W10" s="12" t="s">
        <v>31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4" t="s">
        <v>23</v>
      </c>
      <c r="B11" s="4" t="s">
        <v>42</v>
      </c>
      <c r="C11" s="4" t="str">
        <f t="shared" si="1"/>
        <v>2210RL_001_PF_Blank</v>
      </c>
      <c r="D11" s="4" t="s">
        <v>25</v>
      </c>
      <c r="E11" s="5"/>
      <c r="F11" s="5" t="s">
        <v>43</v>
      </c>
      <c r="G11" s="7">
        <v>44847.0</v>
      </c>
      <c r="H11" s="8">
        <v>1.0</v>
      </c>
      <c r="I11" s="9" t="s">
        <v>27</v>
      </c>
      <c r="J11" s="4" t="s">
        <v>28</v>
      </c>
      <c r="K11" s="5"/>
      <c r="L11" s="4"/>
      <c r="M11" s="4"/>
      <c r="N11" s="4"/>
      <c r="O11" s="4"/>
      <c r="P11" s="4"/>
      <c r="Q11" s="4"/>
      <c r="R11" s="4"/>
      <c r="S11" s="4"/>
      <c r="T11" s="9" t="s">
        <v>29</v>
      </c>
      <c r="U11" s="9" t="s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4" t="s">
        <v>23</v>
      </c>
      <c r="B12" s="4" t="s">
        <v>44</v>
      </c>
      <c r="C12" s="4" t="str">
        <f t="shared" si="1"/>
        <v>2210RL_002_PF_CTD_01</v>
      </c>
      <c r="D12" s="4" t="s">
        <v>25</v>
      </c>
      <c r="E12" s="5" t="s">
        <v>26</v>
      </c>
      <c r="F12" s="6">
        <v>1.0</v>
      </c>
      <c r="G12" s="7">
        <v>44847.0</v>
      </c>
      <c r="H12" s="8">
        <v>2.0</v>
      </c>
      <c r="I12" s="9" t="s">
        <v>45</v>
      </c>
      <c r="J12" s="4" t="s">
        <v>46</v>
      </c>
      <c r="K12" s="5"/>
      <c r="L12" s="4"/>
      <c r="M12" s="4"/>
      <c r="N12" s="4"/>
      <c r="O12" s="10">
        <v>0.7877430555555556</v>
      </c>
      <c r="P12" s="10">
        <v>0.7963888888888889</v>
      </c>
      <c r="Q12" s="10">
        <v>0.8027430555555556</v>
      </c>
      <c r="R12" s="11">
        <f t="shared" ref="R12:R20" si="3">Q12-O12</f>
        <v>0.015</v>
      </c>
      <c r="S12" s="4"/>
      <c r="T12" s="9" t="s">
        <v>47</v>
      </c>
      <c r="U12" s="9" t="s">
        <v>48</v>
      </c>
      <c r="V12" s="4"/>
      <c r="W12" s="12" t="s">
        <v>49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4" t="s">
        <v>23</v>
      </c>
      <c r="B13" s="4" t="s">
        <v>50</v>
      </c>
      <c r="C13" s="4" t="str">
        <f t="shared" si="1"/>
        <v>2210RL_002_PF_CTD_02</v>
      </c>
      <c r="D13" s="4" t="s">
        <v>25</v>
      </c>
      <c r="E13" s="5" t="s">
        <v>26</v>
      </c>
      <c r="F13" s="6">
        <v>2.0</v>
      </c>
      <c r="G13" s="7">
        <v>44847.0</v>
      </c>
      <c r="H13" s="8">
        <v>2.0</v>
      </c>
      <c r="I13" s="9" t="s">
        <v>45</v>
      </c>
      <c r="J13" s="4" t="s">
        <v>46</v>
      </c>
      <c r="K13" s="5"/>
      <c r="L13" s="4"/>
      <c r="M13" s="4"/>
      <c r="N13" s="4"/>
      <c r="O13" s="10">
        <v>0.7877430555555556</v>
      </c>
      <c r="P13" s="10">
        <v>0.7963888888888889</v>
      </c>
      <c r="Q13" s="10">
        <v>0.8027430555555556</v>
      </c>
      <c r="R13" s="11">
        <f t="shared" si="3"/>
        <v>0.015</v>
      </c>
      <c r="S13" s="4"/>
      <c r="T13" s="9" t="s">
        <v>47</v>
      </c>
      <c r="U13" s="9" t="s">
        <v>48</v>
      </c>
      <c r="V13" s="4"/>
      <c r="W13" s="12" t="s">
        <v>49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4" t="s">
        <v>23</v>
      </c>
      <c r="B14" s="4" t="s">
        <v>51</v>
      </c>
      <c r="C14" s="4" t="str">
        <f t="shared" si="1"/>
        <v>2210RL_002_PF_CTD_03</v>
      </c>
      <c r="D14" s="4" t="s">
        <v>25</v>
      </c>
      <c r="E14" s="5" t="s">
        <v>26</v>
      </c>
      <c r="F14" s="6">
        <v>3.0</v>
      </c>
      <c r="G14" s="7">
        <v>44847.0</v>
      </c>
      <c r="H14" s="8">
        <v>2.0</v>
      </c>
      <c r="I14" s="9" t="s">
        <v>45</v>
      </c>
      <c r="J14" s="4" t="s">
        <v>46</v>
      </c>
      <c r="K14" s="5"/>
      <c r="L14" s="4"/>
      <c r="M14" s="4"/>
      <c r="N14" s="4"/>
      <c r="O14" s="10">
        <v>0.7877430555555556</v>
      </c>
      <c r="P14" s="10">
        <v>0.7963888888888889</v>
      </c>
      <c r="Q14" s="10">
        <v>0.8027430555555556</v>
      </c>
      <c r="R14" s="11">
        <f t="shared" si="3"/>
        <v>0.015</v>
      </c>
      <c r="S14" s="4"/>
      <c r="T14" s="9" t="s">
        <v>47</v>
      </c>
      <c r="U14" s="9" t="s">
        <v>48</v>
      </c>
      <c r="V14" s="4"/>
      <c r="W14" s="12" t="s">
        <v>49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4" t="s">
        <v>23</v>
      </c>
      <c r="B15" s="4" t="s">
        <v>52</v>
      </c>
      <c r="C15" s="4" t="str">
        <f t="shared" si="1"/>
        <v>2210RL_002_PF_Man_01</v>
      </c>
      <c r="D15" s="4" t="s">
        <v>25</v>
      </c>
      <c r="E15" s="5" t="s">
        <v>35</v>
      </c>
      <c r="F15" s="6">
        <v>1.0</v>
      </c>
      <c r="G15" s="7">
        <v>44847.0</v>
      </c>
      <c r="H15" s="8">
        <v>2.0</v>
      </c>
      <c r="I15" s="9" t="s">
        <v>45</v>
      </c>
      <c r="J15" s="4" t="s">
        <v>46</v>
      </c>
      <c r="K15" s="5"/>
      <c r="L15" s="4"/>
      <c r="M15" s="4"/>
      <c r="N15" s="4"/>
      <c r="O15" s="10">
        <v>0.8097569444444445</v>
      </c>
      <c r="P15" s="4"/>
      <c r="Q15" s="10">
        <v>0.8200462962962963</v>
      </c>
      <c r="R15" s="11">
        <f t="shared" si="3"/>
        <v>0.01028935185</v>
      </c>
      <c r="S15" s="4"/>
      <c r="T15" s="9" t="s">
        <v>47</v>
      </c>
      <c r="U15" s="9" t="s">
        <v>48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4" t="s">
        <v>23</v>
      </c>
      <c r="B16" s="4" t="s">
        <v>53</v>
      </c>
      <c r="C16" s="4" t="str">
        <f t="shared" si="1"/>
        <v>2210RL_002_PF_Man_02</v>
      </c>
      <c r="D16" s="4" t="s">
        <v>25</v>
      </c>
      <c r="E16" s="5" t="s">
        <v>35</v>
      </c>
      <c r="F16" s="6">
        <v>2.0</v>
      </c>
      <c r="G16" s="7">
        <v>44847.0</v>
      </c>
      <c r="H16" s="8">
        <v>2.0</v>
      </c>
      <c r="I16" s="9" t="s">
        <v>45</v>
      </c>
      <c r="J16" s="4" t="s">
        <v>46</v>
      </c>
      <c r="K16" s="5"/>
      <c r="L16" s="4"/>
      <c r="M16" s="4"/>
      <c r="N16" s="4"/>
      <c r="O16" s="10">
        <v>0.8097569444444445</v>
      </c>
      <c r="P16" s="4"/>
      <c r="Q16" s="10">
        <v>0.8200462962962963</v>
      </c>
      <c r="R16" s="11">
        <f t="shared" si="3"/>
        <v>0.01028935185</v>
      </c>
      <c r="S16" s="4"/>
      <c r="T16" s="9" t="s">
        <v>47</v>
      </c>
      <c r="U16" s="9" t="s">
        <v>48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4" t="s">
        <v>23</v>
      </c>
      <c r="B17" s="4" t="s">
        <v>54</v>
      </c>
      <c r="C17" s="4" t="str">
        <f t="shared" si="1"/>
        <v>2210RL_002_PF_Man_03</v>
      </c>
      <c r="D17" s="4" t="s">
        <v>25</v>
      </c>
      <c r="E17" s="5" t="s">
        <v>35</v>
      </c>
      <c r="F17" s="6">
        <v>3.0</v>
      </c>
      <c r="G17" s="7">
        <v>44847.0</v>
      </c>
      <c r="H17" s="8">
        <v>2.0</v>
      </c>
      <c r="I17" s="9" t="s">
        <v>45</v>
      </c>
      <c r="J17" s="4" t="s">
        <v>46</v>
      </c>
      <c r="K17" s="5"/>
      <c r="L17" s="4"/>
      <c r="M17" s="4"/>
      <c r="N17" s="4"/>
      <c r="O17" s="10">
        <v>0.8097569444444445</v>
      </c>
      <c r="P17" s="4"/>
      <c r="Q17" s="10">
        <v>0.8200462962962963</v>
      </c>
      <c r="R17" s="11">
        <f t="shared" si="3"/>
        <v>0.01028935185</v>
      </c>
      <c r="S17" s="4"/>
      <c r="T17" s="9" t="s">
        <v>47</v>
      </c>
      <c r="U17" s="9" t="s">
        <v>48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4" t="s">
        <v>23</v>
      </c>
      <c r="B18" s="4" t="s">
        <v>55</v>
      </c>
      <c r="C18" s="4" t="str">
        <f t="shared" si="1"/>
        <v>2210RL_002_PF_Bon_01</v>
      </c>
      <c r="D18" s="4" t="s">
        <v>25</v>
      </c>
      <c r="E18" s="5" t="s">
        <v>39</v>
      </c>
      <c r="F18" s="6">
        <v>1.0</v>
      </c>
      <c r="G18" s="7">
        <v>44847.0</v>
      </c>
      <c r="H18" s="8">
        <v>2.0</v>
      </c>
      <c r="I18" s="9" t="s">
        <v>45</v>
      </c>
      <c r="J18" s="4" t="s">
        <v>46</v>
      </c>
      <c r="K18" s="5"/>
      <c r="L18" s="4"/>
      <c r="M18" s="4"/>
      <c r="N18" s="4"/>
      <c r="O18" s="10">
        <v>0.8243171296296297</v>
      </c>
      <c r="P18" s="4"/>
      <c r="Q18" s="10">
        <v>0.8308333333333333</v>
      </c>
      <c r="R18" s="11">
        <f t="shared" si="3"/>
        <v>0.006516203704</v>
      </c>
      <c r="S18" s="4"/>
      <c r="T18" s="9" t="s">
        <v>47</v>
      </c>
      <c r="U18" s="9" t="s">
        <v>48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4" t="s">
        <v>23</v>
      </c>
      <c r="B19" s="4" t="s">
        <v>56</v>
      </c>
      <c r="C19" s="4" t="str">
        <f t="shared" si="1"/>
        <v>2210RL_002_PF_Bon_02</v>
      </c>
      <c r="D19" s="4" t="s">
        <v>25</v>
      </c>
      <c r="E19" s="5" t="s">
        <v>39</v>
      </c>
      <c r="F19" s="6">
        <v>2.0</v>
      </c>
      <c r="G19" s="7">
        <v>44847.0</v>
      </c>
      <c r="H19" s="8">
        <v>2.0</v>
      </c>
      <c r="I19" s="9" t="s">
        <v>45</v>
      </c>
      <c r="J19" s="4" t="s">
        <v>46</v>
      </c>
      <c r="K19" s="5"/>
      <c r="L19" s="4"/>
      <c r="M19" s="4"/>
      <c r="N19" s="4"/>
      <c r="O19" s="10">
        <v>0.8243171296296297</v>
      </c>
      <c r="P19" s="4"/>
      <c r="Q19" s="10">
        <v>0.8308333333333333</v>
      </c>
      <c r="R19" s="11">
        <f t="shared" si="3"/>
        <v>0.006516203704</v>
      </c>
      <c r="S19" s="4"/>
      <c r="T19" s="9" t="s">
        <v>47</v>
      </c>
      <c r="U19" s="9" t="s">
        <v>48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4" t="s">
        <v>23</v>
      </c>
      <c r="B20" s="4" t="s">
        <v>57</v>
      </c>
      <c r="C20" s="4" t="str">
        <f t="shared" si="1"/>
        <v>2210RL_002_PF_Bon_03</v>
      </c>
      <c r="D20" s="4" t="s">
        <v>25</v>
      </c>
      <c r="E20" s="5" t="s">
        <v>39</v>
      </c>
      <c r="F20" s="6">
        <v>3.0</v>
      </c>
      <c r="G20" s="7">
        <v>44847.0</v>
      </c>
      <c r="H20" s="8">
        <v>2.0</v>
      </c>
      <c r="I20" s="9" t="s">
        <v>45</v>
      </c>
      <c r="J20" s="4" t="s">
        <v>46</v>
      </c>
      <c r="K20" s="5"/>
      <c r="L20" s="4"/>
      <c r="M20" s="4"/>
      <c r="N20" s="4"/>
      <c r="O20" s="10">
        <v>0.8243171296296297</v>
      </c>
      <c r="P20" s="4"/>
      <c r="Q20" s="10">
        <v>0.8308333333333333</v>
      </c>
      <c r="R20" s="11">
        <f t="shared" si="3"/>
        <v>0.006516203704</v>
      </c>
      <c r="S20" s="4"/>
      <c r="T20" s="9" t="s">
        <v>47</v>
      </c>
      <c r="U20" s="9" t="s">
        <v>48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4" t="s">
        <v>23</v>
      </c>
      <c r="B21" s="4" t="s">
        <v>58</v>
      </c>
      <c r="C21" s="4" t="str">
        <f t="shared" si="1"/>
        <v>2210RL_002_PF_Blank</v>
      </c>
      <c r="D21" s="4" t="s">
        <v>25</v>
      </c>
      <c r="E21" s="5"/>
      <c r="F21" s="5" t="s">
        <v>43</v>
      </c>
      <c r="G21" s="7">
        <v>44847.0</v>
      </c>
      <c r="H21" s="8">
        <v>2.0</v>
      </c>
      <c r="I21" s="9" t="s">
        <v>45</v>
      </c>
      <c r="J21" s="4" t="s">
        <v>46</v>
      </c>
      <c r="K21" s="5"/>
      <c r="L21" s="4"/>
      <c r="M21" s="4"/>
      <c r="N21" s="4"/>
      <c r="O21" s="4"/>
      <c r="P21" s="4"/>
      <c r="Q21" s="4"/>
      <c r="R21" s="4"/>
      <c r="S21" s="4"/>
      <c r="T21" s="9" t="s">
        <v>47</v>
      </c>
      <c r="U21" s="9" t="s">
        <v>48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4" t="s">
        <v>23</v>
      </c>
      <c r="B22" s="4" t="s">
        <v>59</v>
      </c>
      <c r="C22" s="4" t="str">
        <f t="shared" si="1"/>
        <v>2210RL_003_PF_CTD_01</v>
      </c>
      <c r="D22" s="4" t="s">
        <v>25</v>
      </c>
      <c r="E22" s="5" t="s">
        <v>26</v>
      </c>
      <c r="F22" s="6">
        <v>1.0</v>
      </c>
      <c r="G22" s="7">
        <v>44848.0</v>
      </c>
      <c r="H22" s="8">
        <v>3.0</v>
      </c>
      <c r="I22" s="9" t="s">
        <v>60</v>
      </c>
      <c r="J22" s="4" t="s">
        <v>61</v>
      </c>
      <c r="K22" s="5"/>
      <c r="L22" s="4"/>
      <c r="M22" s="4"/>
      <c r="N22" s="4"/>
      <c r="O22" s="10">
        <v>0.5215625</v>
      </c>
      <c r="P22" s="10">
        <v>0.5297106481481482</v>
      </c>
      <c r="Q22" s="10">
        <v>0.5397916666666667</v>
      </c>
      <c r="R22" s="11">
        <f t="shared" ref="R22:R30" si="4">Q22-O22</f>
        <v>0.01822916667</v>
      </c>
      <c r="S22" s="4"/>
      <c r="T22" s="9" t="s">
        <v>62</v>
      </c>
      <c r="U22" s="9" t="s">
        <v>63</v>
      </c>
      <c r="V22" s="12" t="s">
        <v>64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4" t="s">
        <v>23</v>
      </c>
      <c r="B23" s="4" t="s">
        <v>65</v>
      </c>
      <c r="C23" s="4" t="str">
        <f t="shared" si="1"/>
        <v>2210RL_003_PF_CTD_02</v>
      </c>
      <c r="D23" s="4" t="s">
        <v>25</v>
      </c>
      <c r="E23" s="5" t="s">
        <v>26</v>
      </c>
      <c r="F23" s="6">
        <v>2.0</v>
      </c>
      <c r="G23" s="7">
        <v>44848.0</v>
      </c>
      <c r="H23" s="8">
        <v>3.0</v>
      </c>
      <c r="I23" s="9" t="s">
        <v>60</v>
      </c>
      <c r="J23" s="4" t="s">
        <v>61</v>
      </c>
      <c r="K23" s="5"/>
      <c r="L23" s="4"/>
      <c r="M23" s="4"/>
      <c r="N23" s="4"/>
      <c r="O23" s="10">
        <v>0.5215625</v>
      </c>
      <c r="P23" s="10">
        <v>0.5297106481481482</v>
      </c>
      <c r="Q23" s="10">
        <v>0.5397916666666667</v>
      </c>
      <c r="R23" s="11">
        <f t="shared" si="4"/>
        <v>0.01822916667</v>
      </c>
      <c r="S23" s="4"/>
      <c r="T23" s="9" t="s">
        <v>62</v>
      </c>
      <c r="U23" s="9" t="s">
        <v>63</v>
      </c>
      <c r="V23" s="12" t="s">
        <v>64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4" t="s">
        <v>23</v>
      </c>
      <c r="B24" s="4" t="s">
        <v>66</v>
      </c>
      <c r="C24" s="4" t="str">
        <f t="shared" si="1"/>
        <v>2210RL_003_PF_CTD_03</v>
      </c>
      <c r="D24" s="4" t="s">
        <v>25</v>
      </c>
      <c r="E24" s="5" t="s">
        <v>26</v>
      </c>
      <c r="F24" s="6">
        <v>3.0</v>
      </c>
      <c r="G24" s="7">
        <v>44848.0</v>
      </c>
      <c r="H24" s="8">
        <v>3.0</v>
      </c>
      <c r="I24" s="9" t="s">
        <v>60</v>
      </c>
      <c r="J24" s="4" t="s">
        <v>61</v>
      </c>
      <c r="K24" s="5"/>
      <c r="L24" s="4"/>
      <c r="M24" s="4"/>
      <c r="N24" s="4"/>
      <c r="O24" s="10">
        <v>0.5215625</v>
      </c>
      <c r="P24" s="10">
        <v>0.5297106481481482</v>
      </c>
      <c r="Q24" s="10">
        <v>0.5397916666666667</v>
      </c>
      <c r="R24" s="11">
        <f t="shared" si="4"/>
        <v>0.01822916667</v>
      </c>
      <c r="S24" s="4"/>
      <c r="T24" s="9" t="s">
        <v>62</v>
      </c>
      <c r="U24" s="9" t="s">
        <v>63</v>
      </c>
      <c r="V24" s="12" t="s">
        <v>64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4" t="s">
        <v>23</v>
      </c>
      <c r="B25" s="4" t="s">
        <v>67</v>
      </c>
      <c r="C25" s="4" t="str">
        <f t="shared" si="1"/>
        <v>2210RL_003_PF_Man_01</v>
      </c>
      <c r="D25" s="4" t="s">
        <v>25</v>
      </c>
      <c r="E25" s="5" t="s">
        <v>35</v>
      </c>
      <c r="F25" s="6">
        <v>1.0</v>
      </c>
      <c r="G25" s="7">
        <v>44848.0</v>
      </c>
      <c r="H25" s="8">
        <v>3.0</v>
      </c>
      <c r="I25" s="9" t="s">
        <v>60</v>
      </c>
      <c r="J25" s="4" t="s">
        <v>61</v>
      </c>
      <c r="K25" s="5"/>
      <c r="L25" s="4"/>
      <c r="M25" s="4"/>
      <c r="N25" s="4"/>
      <c r="O25" s="10">
        <v>0.5455092592592593</v>
      </c>
      <c r="P25" s="4"/>
      <c r="Q25" s="10">
        <v>0.556412037037037</v>
      </c>
      <c r="R25" s="11">
        <f t="shared" si="4"/>
        <v>0.01090277778</v>
      </c>
      <c r="S25" s="4"/>
      <c r="T25" s="9" t="s">
        <v>62</v>
      </c>
      <c r="U25" s="9" t="s">
        <v>63</v>
      </c>
      <c r="V25" s="12" t="s">
        <v>64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4" t="s">
        <v>23</v>
      </c>
      <c r="B26" s="4" t="s">
        <v>68</v>
      </c>
      <c r="C26" s="4" t="str">
        <f t="shared" si="1"/>
        <v>2210RL_003_PF_Man_02</v>
      </c>
      <c r="D26" s="4" t="s">
        <v>25</v>
      </c>
      <c r="E26" s="5" t="s">
        <v>35</v>
      </c>
      <c r="F26" s="6">
        <v>2.0</v>
      </c>
      <c r="G26" s="7">
        <v>44848.0</v>
      </c>
      <c r="H26" s="8">
        <v>3.0</v>
      </c>
      <c r="I26" s="9" t="s">
        <v>60</v>
      </c>
      <c r="J26" s="4" t="s">
        <v>61</v>
      </c>
      <c r="K26" s="5"/>
      <c r="L26" s="4"/>
      <c r="M26" s="4"/>
      <c r="N26" s="4"/>
      <c r="O26" s="10">
        <v>0.5455092592592593</v>
      </c>
      <c r="P26" s="4"/>
      <c r="Q26" s="10">
        <v>0.556412037037037</v>
      </c>
      <c r="R26" s="11">
        <f t="shared" si="4"/>
        <v>0.01090277778</v>
      </c>
      <c r="S26" s="4"/>
      <c r="T26" s="9" t="s">
        <v>62</v>
      </c>
      <c r="U26" s="9" t="s">
        <v>63</v>
      </c>
      <c r="V26" s="12" t="s">
        <v>64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4" t="s">
        <v>23</v>
      </c>
      <c r="B27" s="4" t="s">
        <v>69</v>
      </c>
      <c r="C27" s="4" t="str">
        <f t="shared" si="1"/>
        <v>2210RL_003_PF_Man_03</v>
      </c>
      <c r="D27" s="4" t="s">
        <v>25</v>
      </c>
      <c r="E27" s="5" t="s">
        <v>35</v>
      </c>
      <c r="F27" s="6">
        <v>3.0</v>
      </c>
      <c r="G27" s="7">
        <v>44848.0</v>
      </c>
      <c r="H27" s="8">
        <v>3.0</v>
      </c>
      <c r="I27" s="9" t="s">
        <v>60</v>
      </c>
      <c r="J27" s="4" t="s">
        <v>61</v>
      </c>
      <c r="K27" s="5"/>
      <c r="L27" s="4"/>
      <c r="M27" s="4"/>
      <c r="N27" s="4"/>
      <c r="O27" s="10">
        <v>0.5455092592592593</v>
      </c>
      <c r="P27" s="4"/>
      <c r="Q27" s="10">
        <v>0.556412037037037</v>
      </c>
      <c r="R27" s="11">
        <f t="shared" si="4"/>
        <v>0.01090277778</v>
      </c>
      <c r="S27" s="4"/>
      <c r="T27" s="9" t="s">
        <v>62</v>
      </c>
      <c r="U27" s="9" t="s">
        <v>63</v>
      </c>
      <c r="V27" s="12" t="s">
        <v>64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4" t="s">
        <v>23</v>
      </c>
      <c r="B28" s="4" t="s">
        <v>70</v>
      </c>
      <c r="C28" s="4" t="str">
        <f t="shared" si="1"/>
        <v>2210RL_003_PF_Bon_01</v>
      </c>
      <c r="D28" s="4" t="s">
        <v>25</v>
      </c>
      <c r="E28" s="5" t="s">
        <v>39</v>
      </c>
      <c r="F28" s="6">
        <v>1.0</v>
      </c>
      <c r="G28" s="7">
        <v>44848.0</v>
      </c>
      <c r="H28" s="8">
        <v>3.0</v>
      </c>
      <c r="I28" s="9" t="s">
        <v>60</v>
      </c>
      <c r="J28" s="4" t="s">
        <v>61</v>
      </c>
      <c r="K28" s="5"/>
      <c r="L28" s="4"/>
      <c r="M28" s="4"/>
      <c r="N28" s="4"/>
      <c r="O28" s="10">
        <v>0.5622800925925926</v>
      </c>
      <c r="P28" s="4"/>
      <c r="Q28" s="10">
        <v>0.5778125</v>
      </c>
      <c r="R28" s="11">
        <f t="shared" si="4"/>
        <v>0.01553240741</v>
      </c>
      <c r="S28" s="4"/>
      <c r="T28" s="9" t="s">
        <v>62</v>
      </c>
      <c r="U28" s="9" t="s">
        <v>63</v>
      </c>
      <c r="V28" s="12" t="s">
        <v>64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" t="s">
        <v>23</v>
      </c>
      <c r="B29" s="4" t="s">
        <v>71</v>
      </c>
      <c r="C29" s="4" t="str">
        <f t="shared" si="1"/>
        <v>2210RL_003_PF_Bon_02</v>
      </c>
      <c r="D29" s="4" t="s">
        <v>25</v>
      </c>
      <c r="E29" s="5" t="s">
        <v>39</v>
      </c>
      <c r="F29" s="6">
        <v>2.0</v>
      </c>
      <c r="G29" s="7">
        <v>44848.0</v>
      </c>
      <c r="H29" s="8">
        <v>3.0</v>
      </c>
      <c r="I29" s="9" t="s">
        <v>60</v>
      </c>
      <c r="J29" s="4" t="s">
        <v>61</v>
      </c>
      <c r="K29" s="5"/>
      <c r="L29" s="4"/>
      <c r="M29" s="4"/>
      <c r="N29" s="4"/>
      <c r="O29" s="10">
        <v>0.5622800925925926</v>
      </c>
      <c r="P29" s="4"/>
      <c r="Q29" s="10">
        <v>0.5778125</v>
      </c>
      <c r="R29" s="11">
        <f t="shared" si="4"/>
        <v>0.01553240741</v>
      </c>
      <c r="S29" s="4"/>
      <c r="T29" s="9" t="s">
        <v>62</v>
      </c>
      <c r="U29" s="9" t="s">
        <v>63</v>
      </c>
      <c r="V29" s="12" t="s">
        <v>64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4" t="s">
        <v>23</v>
      </c>
      <c r="B30" s="4" t="s">
        <v>72</v>
      </c>
      <c r="C30" s="4" t="str">
        <f t="shared" si="1"/>
        <v>2210RL_003_PF_Bon_03</v>
      </c>
      <c r="D30" s="4" t="s">
        <v>25</v>
      </c>
      <c r="E30" s="5" t="s">
        <v>39</v>
      </c>
      <c r="F30" s="6">
        <v>3.0</v>
      </c>
      <c r="G30" s="7">
        <v>44848.0</v>
      </c>
      <c r="H30" s="8">
        <v>3.0</v>
      </c>
      <c r="I30" s="9" t="s">
        <v>60</v>
      </c>
      <c r="J30" s="4" t="s">
        <v>61</v>
      </c>
      <c r="K30" s="5"/>
      <c r="L30" s="4"/>
      <c r="M30" s="4"/>
      <c r="N30" s="4"/>
      <c r="O30" s="10">
        <v>0.5622800925925926</v>
      </c>
      <c r="P30" s="4"/>
      <c r="Q30" s="10">
        <v>0.5778125</v>
      </c>
      <c r="R30" s="11">
        <f t="shared" si="4"/>
        <v>0.01553240741</v>
      </c>
      <c r="S30" s="4"/>
      <c r="T30" s="9" t="s">
        <v>62</v>
      </c>
      <c r="U30" s="9" t="s">
        <v>63</v>
      </c>
      <c r="V30" s="4" t="s">
        <v>64</v>
      </c>
      <c r="W30" s="12" t="s">
        <v>73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4" t="s">
        <v>23</v>
      </c>
      <c r="B31" s="4" t="s">
        <v>74</v>
      </c>
      <c r="C31" s="4" t="str">
        <f t="shared" si="1"/>
        <v>2210RL_003_PF_Blank</v>
      </c>
      <c r="D31" s="4" t="s">
        <v>25</v>
      </c>
      <c r="E31" s="4"/>
      <c r="F31" s="5" t="s">
        <v>43</v>
      </c>
      <c r="G31" s="7">
        <v>44848.0</v>
      </c>
      <c r="H31" s="8">
        <v>3.0</v>
      </c>
      <c r="I31" s="9" t="s">
        <v>60</v>
      </c>
      <c r="J31" s="4" t="s">
        <v>61</v>
      </c>
      <c r="K31" s="5"/>
      <c r="L31" s="4"/>
      <c r="M31" s="4"/>
      <c r="N31" s="4"/>
      <c r="O31" s="4"/>
      <c r="P31" s="4"/>
      <c r="Q31" s="4"/>
      <c r="R31" s="4"/>
      <c r="S31" s="4"/>
      <c r="T31" s="9" t="s">
        <v>62</v>
      </c>
      <c r="U31" s="9" t="s">
        <v>63</v>
      </c>
      <c r="V31" s="4" t="s">
        <v>64</v>
      </c>
      <c r="W31" s="12" t="s">
        <v>73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" t="s">
        <v>23</v>
      </c>
      <c r="B32" s="4" t="s">
        <v>75</v>
      </c>
      <c r="C32" s="4" t="str">
        <f t="shared" si="1"/>
        <v>2210RL_004_PF_CTD_01</v>
      </c>
      <c r="D32" s="4" t="s">
        <v>25</v>
      </c>
      <c r="E32" s="5" t="s">
        <v>26</v>
      </c>
      <c r="F32" s="6">
        <v>1.0</v>
      </c>
      <c r="G32" s="7">
        <v>44848.0</v>
      </c>
      <c r="H32" s="8">
        <v>4.0</v>
      </c>
      <c r="I32" s="9" t="s">
        <v>76</v>
      </c>
      <c r="J32" s="4" t="s">
        <v>77</v>
      </c>
      <c r="K32" s="5"/>
      <c r="L32" s="4"/>
      <c r="M32" s="4"/>
      <c r="N32" s="4"/>
      <c r="O32" s="10">
        <v>0.6879976851851852</v>
      </c>
      <c r="P32" s="10">
        <v>0.6924189814814815</v>
      </c>
      <c r="Q32" s="10">
        <v>0.6979050925925926</v>
      </c>
      <c r="R32" s="11">
        <f t="shared" ref="R32:R40" si="5">Q32-O32</f>
        <v>0.009907407407</v>
      </c>
      <c r="S32" s="4"/>
      <c r="T32" s="9" t="s">
        <v>78</v>
      </c>
      <c r="U32" s="9" t="s">
        <v>79</v>
      </c>
      <c r="V32" s="12" t="s">
        <v>80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4" t="s">
        <v>23</v>
      </c>
      <c r="B33" s="4" t="s">
        <v>81</v>
      </c>
      <c r="C33" s="4" t="str">
        <f t="shared" si="1"/>
        <v>2210RL_004_PF_CTD_02</v>
      </c>
      <c r="D33" s="4" t="s">
        <v>25</v>
      </c>
      <c r="E33" s="5" t="s">
        <v>26</v>
      </c>
      <c r="F33" s="6">
        <v>2.0</v>
      </c>
      <c r="G33" s="7">
        <v>44848.0</v>
      </c>
      <c r="H33" s="8">
        <v>4.0</v>
      </c>
      <c r="I33" s="9" t="s">
        <v>76</v>
      </c>
      <c r="J33" s="4" t="s">
        <v>77</v>
      </c>
      <c r="K33" s="5"/>
      <c r="L33" s="4"/>
      <c r="M33" s="4"/>
      <c r="N33" s="4"/>
      <c r="O33" s="10">
        <v>0.6879976851851852</v>
      </c>
      <c r="P33" s="10">
        <v>0.6924189814814815</v>
      </c>
      <c r="Q33" s="10">
        <v>0.6979050925925926</v>
      </c>
      <c r="R33" s="11">
        <f t="shared" si="5"/>
        <v>0.009907407407</v>
      </c>
      <c r="S33" s="4"/>
      <c r="T33" s="9" t="s">
        <v>78</v>
      </c>
      <c r="U33" s="9" t="s">
        <v>79</v>
      </c>
      <c r="V33" s="12" t="s">
        <v>80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4" t="s">
        <v>23</v>
      </c>
      <c r="B34" s="4" t="s">
        <v>82</v>
      </c>
      <c r="C34" s="4" t="str">
        <f t="shared" si="1"/>
        <v>2210RL_004_PF_CTD_03</v>
      </c>
      <c r="D34" s="4" t="s">
        <v>25</v>
      </c>
      <c r="E34" s="5" t="s">
        <v>26</v>
      </c>
      <c r="F34" s="6">
        <v>3.0</v>
      </c>
      <c r="G34" s="7">
        <v>44848.0</v>
      </c>
      <c r="H34" s="8">
        <v>4.0</v>
      </c>
      <c r="I34" s="9" t="s">
        <v>76</v>
      </c>
      <c r="J34" s="4" t="s">
        <v>77</v>
      </c>
      <c r="K34" s="5"/>
      <c r="L34" s="4"/>
      <c r="M34" s="4"/>
      <c r="N34" s="4"/>
      <c r="O34" s="10">
        <v>0.6879976851851852</v>
      </c>
      <c r="P34" s="10">
        <v>0.6924189814814815</v>
      </c>
      <c r="Q34" s="10">
        <v>0.6979050925925926</v>
      </c>
      <c r="R34" s="11">
        <f t="shared" si="5"/>
        <v>0.009907407407</v>
      </c>
      <c r="S34" s="4"/>
      <c r="T34" s="9" t="s">
        <v>78</v>
      </c>
      <c r="U34" s="9" t="s">
        <v>79</v>
      </c>
      <c r="V34" s="12" t="s">
        <v>80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4" t="s">
        <v>23</v>
      </c>
      <c r="B35" s="4" t="s">
        <v>83</v>
      </c>
      <c r="C35" s="4" t="str">
        <f t="shared" si="1"/>
        <v>2210RL_004_PF_Man_01</v>
      </c>
      <c r="D35" s="4" t="s">
        <v>25</v>
      </c>
      <c r="E35" s="5" t="s">
        <v>35</v>
      </c>
      <c r="F35" s="6">
        <v>1.0</v>
      </c>
      <c r="G35" s="7">
        <v>44848.0</v>
      </c>
      <c r="H35" s="8">
        <v>4.0</v>
      </c>
      <c r="I35" s="9" t="s">
        <v>76</v>
      </c>
      <c r="J35" s="4" t="s">
        <v>77</v>
      </c>
      <c r="K35" s="5"/>
      <c r="L35" s="4"/>
      <c r="M35" s="4"/>
      <c r="N35" s="4"/>
      <c r="O35" s="10">
        <v>0.733125</v>
      </c>
      <c r="P35" s="4"/>
      <c r="Q35" s="10">
        <v>0.7440509259259259</v>
      </c>
      <c r="R35" s="11">
        <f t="shared" si="5"/>
        <v>0.01092592593</v>
      </c>
      <c r="S35" s="4"/>
      <c r="T35" s="9" t="s">
        <v>78</v>
      </c>
      <c r="U35" s="9" t="s">
        <v>79</v>
      </c>
      <c r="V35" s="12" t="s">
        <v>80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4" t="s">
        <v>23</v>
      </c>
      <c r="B36" s="4" t="s">
        <v>84</v>
      </c>
      <c r="C36" s="4" t="str">
        <f t="shared" si="1"/>
        <v>2210RL_004_PF_Man_02</v>
      </c>
      <c r="D36" s="4" t="s">
        <v>25</v>
      </c>
      <c r="E36" s="5" t="s">
        <v>35</v>
      </c>
      <c r="F36" s="6">
        <v>2.0</v>
      </c>
      <c r="G36" s="7">
        <v>44848.0</v>
      </c>
      <c r="H36" s="8">
        <v>4.0</v>
      </c>
      <c r="I36" s="9" t="s">
        <v>76</v>
      </c>
      <c r="J36" s="4" t="s">
        <v>77</v>
      </c>
      <c r="K36" s="5"/>
      <c r="L36" s="4"/>
      <c r="M36" s="4"/>
      <c r="N36" s="4"/>
      <c r="O36" s="10">
        <v>0.733125</v>
      </c>
      <c r="P36" s="4"/>
      <c r="Q36" s="10">
        <v>0.7440509259259259</v>
      </c>
      <c r="R36" s="11">
        <f t="shared" si="5"/>
        <v>0.01092592593</v>
      </c>
      <c r="S36" s="4"/>
      <c r="T36" s="9" t="s">
        <v>78</v>
      </c>
      <c r="U36" s="9" t="s">
        <v>79</v>
      </c>
      <c r="V36" s="12" t="s">
        <v>80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4" t="s">
        <v>23</v>
      </c>
      <c r="B37" s="4" t="s">
        <v>85</v>
      </c>
      <c r="C37" s="4" t="str">
        <f t="shared" si="1"/>
        <v>2210RL_004_PF_Man_03</v>
      </c>
      <c r="D37" s="4" t="s">
        <v>25</v>
      </c>
      <c r="E37" s="5" t="s">
        <v>35</v>
      </c>
      <c r="F37" s="6">
        <v>3.0</v>
      </c>
      <c r="G37" s="7">
        <v>44848.0</v>
      </c>
      <c r="H37" s="8">
        <v>4.0</v>
      </c>
      <c r="I37" s="9" t="s">
        <v>76</v>
      </c>
      <c r="J37" s="4" t="s">
        <v>77</v>
      </c>
      <c r="K37" s="5"/>
      <c r="L37" s="4"/>
      <c r="M37" s="4"/>
      <c r="N37" s="4"/>
      <c r="O37" s="10">
        <v>0.733125</v>
      </c>
      <c r="P37" s="4"/>
      <c r="Q37" s="10">
        <v>0.7440509259259259</v>
      </c>
      <c r="R37" s="11">
        <f t="shared" si="5"/>
        <v>0.01092592593</v>
      </c>
      <c r="S37" s="4"/>
      <c r="T37" s="9" t="s">
        <v>78</v>
      </c>
      <c r="U37" s="9" t="s">
        <v>79</v>
      </c>
      <c r="V37" s="12" t="s">
        <v>80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" t="s">
        <v>23</v>
      </c>
      <c r="B38" s="4" t="s">
        <v>86</v>
      </c>
      <c r="C38" s="4" t="str">
        <f t="shared" si="1"/>
        <v>2210RL_004_PF_Bon_01</v>
      </c>
      <c r="D38" s="4" t="s">
        <v>25</v>
      </c>
      <c r="E38" s="5" t="s">
        <v>39</v>
      </c>
      <c r="F38" s="6">
        <v>1.0</v>
      </c>
      <c r="G38" s="7">
        <v>44848.0</v>
      </c>
      <c r="H38" s="8">
        <v>4.0</v>
      </c>
      <c r="I38" s="9" t="s">
        <v>76</v>
      </c>
      <c r="J38" s="4" t="s">
        <v>77</v>
      </c>
      <c r="K38" s="5"/>
      <c r="L38" s="4"/>
      <c r="M38" s="4"/>
      <c r="N38" s="4"/>
      <c r="O38" s="10">
        <v>0.7482060185185185</v>
      </c>
      <c r="P38" s="4"/>
      <c r="Q38" s="10">
        <v>0.7548726851851851</v>
      </c>
      <c r="R38" s="11">
        <f t="shared" si="5"/>
        <v>0.006666666667</v>
      </c>
      <c r="S38" s="4"/>
      <c r="T38" s="9" t="s">
        <v>78</v>
      </c>
      <c r="U38" s="9" t="s">
        <v>79</v>
      </c>
      <c r="V38" s="12" t="s">
        <v>80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4" t="s">
        <v>23</v>
      </c>
      <c r="B39" s="4" t="s">
        <v>87</v>
      </c>
      <c r="C39" s="4" t="str">
        <f t="shared" si="1"/>
        <v>2210RL_004_PF_Bon_02</v>
      </c>
      <c r="D39" s="4" t="s">
        <v>25</v>
      </c>
      <c r="E39" s="5" t="s">
        <v>39</v>
      </c>
      <c r="F39" s="6">
        <v>2.0</v>
      </c>
      <c r="G39" s="7">
        <v>44848.0</v>
      </c>
      <c r="H39" s="8">
        <v>4.0</v>
      </c>
      <c r="I39" s="9" t="s">
        <v>76</v>
      </c>
      <c r="J39" s="4" t="s">
        <v>77</v>
      </c>
      <c r="K39" s="5"/>
      <c r="L39" s="4"/>
      <c r="M39" s="4"/>
      <c r="N39" s="4"/>
      <c r="O39" s="10">
        <v>0.7482060185185185</v>
      </c>
      <c r="P39" s="4"/>
      <c r="Q39" s="10">
        <v>0.7548726851851851</v>
      </c>
      <c r="R39" s="11">
        <f t="shared" si="5"/>
        <v>0.006666666667</v>
      </c>
      <c r="S39" s="4"/>
      <c r="T39" s="9" t="s">
        <v>78</v>
      </c>
      <c r="U39" s="9" t="s">
        <v>79</v>
      </c>
      <c r="V39" s="12" t="s">
        <v>80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" t="s">
        <v>23</v>
      </c>
      <c r="B40" s="4" t="s">
        <v>88</v>
      </c>
      <c r="C40" s="4" t="str">
        <f t="shared" si="1"/>
        <v>2210RL_004_PF_Bon_03</v>
      </c>
      <c r="D40" s="4" t="s">
        <v>25</v>
      </c>
      <c r="E40" s="5" t="s">
        <v>39</v>
      </c>
      <c r="F40" s="6">
        <v>3.0</v>
      </c>
      <c r="G40" s="7">
        <v>44848.0</v>
      </c>
      <c r="H40" s="8">
        <v>4.0</v>
      </c>
      <c r="I40" s="9" t="s">
        <v>76</v>
      </c>
      <c r="J40" s="4" t="s">
        <v>77</v>
      </c>
      <c r="K40" s="5"/>
      <c r="L40" s="4"/>
      <c r="M40" s="4"/>
      <c r="N40" s="4"/>
      <c r="O40" s="10">
        <v>0.7482060185185185</v>
      </c>
      <c r="P40" s="4"/>
      <c r="Q40" s="10">
        <v>0.7548726851851851</v>
      </c>
      <c r="R40" s="11">
        <f t="shared" si="5"/>
        <v>0.006666666667</v>
      </c>
      <c r="S40" s="4"/>
      <c r="T40" s="9" t="s">
        <v>78</v>
      </c>
      <c r="U40" s="9" t="s">
        <v>79</v>
      </c>
      <c r="V40" s="12" t="s">
        <v>80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4" t="s">
        <v>23</v>
      </c>
      <c r="B41" s="4" t="s">
        <v>89</v>
      </c>
      <c r="C41" s="4" t="str">
        <f t="shared" si="1"/>
        <v>2210RL_004_PF_Blank</v>
      </c>
      <c r="D41" s="4" t="s">
        <v>25</v>
      </c>
      <c r="E41" s="5"/>
      <c r="F41" s="5" t="s">
        <v>43</v>
      </c>
      <c r="G41" s="7">
        <v>44848.0</v>
      </c>
      <c r="H41" s="8">
        <v>4.0</v>
      </c>
      <c r="I41" s="9" t="s">
        <v>76</v>
      </c>
      <c r="J41" s="4" t="s">
        <v>77</v>
      </c>
      <c r="K41" s="5"/>
      <c r="L41" s="4"/>
      <c r="M41" s="4"/>
      <c r="N41" s="4"/>
      <c r="O41" s="4"/>
      <c r="P41" s="4"/>
      <c r="Q41" s="4"/>
      <c r="R41" s="4"/>
      <c r="S41" s="4"/>
      <c r="T41" s="9" t="s">
        <v>78</v>
      </c>
      <c r="U41" s="9" t="s">
        <v>79</v>
      </c>
      <c r="V41" s="12" t="s">
        <v>80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" t="s">
        <v>23</v>
      </c>
      <c r="B42" s="4" t="s">
        <v>90</v>
      </c>
      <c r="C42" s="4" t="str">
        <f t="shared" si="1"/>
        <v>2210RL_005_PF_CTD_01</v>
      </c>
      <c r="D42" s="4" t="s">
        <v>25</v>
      </c>
      <c r="E42" s="5" t="s">
        <v>26</v>
      </c>
      <c r="F42" s="6">
        <v>1.0</v>
      </c>
      <c r="G42" s="7">
        <v>44848.0</v>
      </c>
      <c r="H42" s="8">
        <v>5.0</v>
      </c>
      <c r="I42" s="9" t="s">
        <v>91</v>
      </c>
      <c r="J42" s="4" t="s">
        <v>92</v>
      </c>
      <c r="K42" s="5"/>
      <c r="L42" s="4"/>
      <c r="M42" s="4"/>
      <c r="N42" s="4"/>
      <c r="O42" s="10">
        <v>0.8167245370370371</v>
      </c>
      <c r="P42" s="10">
        <v>0.8252314814814815</v>
      </c>
      <c r="Q42" s="10">
        <v>0.8372569444444444</v>
      </c>
      <c r="R42" s="11">
        <f t="shared" ref="R42:R50" si="6">Q42-O42</f>
        <v>0.02053240741</v>
      </c>
      <c r="S42" s="4"/>
      <c r="T42" s="9" t="s">
        <v>93</v>
      </c>
      <c r="U42" s="9" t="s">
        <v>94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4" t="s">
        <v>23</v>
      </c>
      <c r="B43" s="4" t="s">
        <v>95</v>
      </c>
      <c r="C43" s="4" t="str">
        <f t="shared" si="1"/>
        <v>2210RL_005_PF_CTD_02</v>
      </c>
      <c r="D43" s="4" t="s">
        <v>25</v>
      </c>
      <c r="E43" s="5" t="s">
        <v>26</v>
      </c>
      <c r="F43" s="6">
        <v>2.0</v>
      </c>
      <c r="G43" s="7">
        <v>44848.0</v>
      </c>
      <c r="H43" s="8">
        <v>5.0</v>
      </c>
      <c r="I43" s="9" t="s">
        <v>91</v>
      </c>
      <c r="J43" s="4" t="s">
        <v>92</v>
      </c>
      <c r="K43" s="5"/>
      <c r="L43" s="4"/>
      <c r="M43" s="4"/>
      <c r="N43" s="4"/>
      <c r="O43" s="10">
        <v>0.8167245370370371</v>
      </c>
      <c r="P43" s="10">
        <v>0.8252314814814815</v>
      </c>
      <c r="Q43" s="10">
        <v>0.8372569444444444</v>
      </c>
      <c r="R43" s="11">
        <f t="shared" si="6"/>
        <v>0.02053240741</v>
      </c>
      <c r="S43" s="4"/>
      <c r="T43" s="9" t="s">
        <v>93</v>
      </c>
      <c r="U43" s="9" t="s">
        <v>94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" t="s">
        <v>23</v>
      </c>
      <c r="B44" s="4" t="s">
        <v>96</v>
      </c>
      <c r="C44" s="4" t="str">
        <f t="shared" si="1"/>
        <v>2210RL_005_PF_CTD_03</v>
      </c>
      <c r="D44" s="4" t="s">
        <v>25</v>
      </c>
      <c r="E44" s="5" t="s">
        <v>26</v>
      </c>
      <c r="F44" s="6">
        <v>3.0</v>
      </c>
      <c r="G44" s="7">
        <v>44848.0</v>
      </c>
      <c r="H44" s="8">
        <v>5.0</v>
      </c>
      <c r="I44" s="9" t="s">
        <v>91</v>
      </c>
      <c r="J44" s="4" t="s">
        <v>92</v>
      </c>
      <c r="K44" s="5"/>
      <c r="L44" s="4"/>
      <c r="M44" s="4"/>
      <c r="N44" s="4"/>
      <c r="O44" s="10">
        <v>0.8167245370370371</v>
      </c>
      <c r="P44" s="10">
        <v>0.8252314814814815</v>
      </c>
      <c r="Q44" s="10">
        <v>0.8372569444444444</v>
      </c>
      <c r="R44" s="11">
        <f t="shared" si="6"/>
        <v>0.02053240741</v>
      </c>
      <c r="S44" s="4"/>
      <c r="T44" s="9" t="s">
        <v>93</v>
      </c>
      <c r="U44" s="9" t="s">
        <v>94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4" t="s">
        <v>23</v>
      </c>
      <c r="B45" s="4" t="s">
        <v>97</v>
      </c>
      <c r="C45" s="4" t="str">
        <f t="shared" si="1"/>
        <v>2210RL_005_PF_Man_01</v>
      </c>
      <c r="D45" s="4" t="s">
        <v>25</v>
      </c>
      <c r="E45" s="5" t="s">
        <v>35</v>
      </c>
      <c r="F45" s="6">
        <v>1.0</v>
      </c>
      <c r="G45" s="7">
        <v>44848.0</v>
      </c>
      <c r="H45" s="8">
        <v>5.0</v>
      </c>
      <c r="I45" s="9" t="s">
        <v>91</v>
      </c>
      <c r="J45" s="4" t="s">
        <v>92</v>
      </c>
      <c r="K45" s="5"/>
      <c r="L45" s="4"/>
      <c r="M45" s="4"/>
      <c r="N45" s="4"/>
      <c r="O45" s="10">
        <v>0.8454050925925926</v>
      </c>
      <c r="P45" s="4"/>
      <c r="Q45" s="10">
        <v>0.8563194444444444</v>
      </c>
      <c r="R45" s="11">
        <f t="shared" si="6"/>
        <v>0.01091435185</v>
      </c>
      <c r="S45" s="4"/>
      <c r="T45" s="9" t="s">
        <v>93</v>
      </c>
      <c r="U45" s="9" t="s">
        <v>94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4" t="s">
        <v>23</v>
      </c>
      <c r="B46" s="4" t="s">
        <v>98</v>
      </c>
      <c r="C46" s="4" t="str">
        <f t="shared" si="1"/>
        <v>2210RL_005_PF_Man_02</v>
      </c>
      <c r="D46" s="4" t="s">
        <v>25</v>
      </c>
      <c r="E46" s="5" t="s">
        <v>35</v>
      </c>
      <c r="F46" s="6">
        <v>2.0</v>
      </c>
      <c r="G46" s="7">
        <v>44848.0</v>
      </c>
      <c r="H46" s="8">
        <v>5.0</v>
      </c>
      <c r="I46" s="9" t="s">
        <v>91</v>
      </c>
      <c r="J46" s="4" t="s">
        <v>92</v>
      </c>
      <c r="K46" s="5"/>
      <c r="L46" s="4"/>
      <c r="M46" s="4"/>
      <c r="N46" s="4"/>
      <c r="O46" s="10">
        <v>0.8454050925925926</v>
      </c>
      <c r="P46" s="4"/>
      <c r="Q46" s="10">
        <v>0.8563194444444444</v>
      </c>
      <c r="R46" s="11">
        <f t="shared" si="6"/>
        <v>0.01091435185</v>
      </c>
      <c r="S46" s="4"/>
      <c r="T46" s="9" t="s">
        <v>93</v>
      </c>
      <c r="U46" s="9" t="s">
        <v>94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" t="s">
        <v>23</v>
      </c>
      <c r="B47" s="4" t="s">
        <v>99</v>
      </c>
      <c r="C47" s="4" t="str">
        <f t="shared" si="1"/>
        <v>2210RL_005_PF_Man_03</v>
      </c>
      <c r="D47" s="4" t="s">
        <v>25</v>
      </c>
      <c r="E47" s="5" t="s">
        <v>35</v>
      </c>
      <c r="F47" s="6">
        <v>3.0</v>
      </c>
      <c r="G47" s="7">
        <v>44848.0</v>
      </c>
      <c r="H47" s="8">
        <v>5.0</v>
      </c>
      <c r="I47" s="9" t="s">
        <v>91</v>
      </c>
      <c r="J47" s="4" t="s">
        <v>92</v>
      </c>
      <c r="K47" s="5"/>
      <c r="L47" s="4"/>
      <c r="M47" s="4"/>
      <c r="N47" s="4"/>
      <c r="O47" s="10">
        <v>0.8454050925925926</v>
      </c>
      <c r="P47" s="4"/>
      <c r="Q47" s="10">
        <v>0.8563194444444444</v>
      </c>
      <c r="R47" s="11">
        <f t="shared" si="6"/>
        <v>0.01091435185</v>
      </c>
      <c r="S47" s="4"/>
      <c r="T47" s="9" t="s">
        <v>93</v>
      </c>
      <c r="U47" s="9" t="s">
        <v>94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4" t="s">
        <v>23</v>
      </c>
      <c r="B48" s="4" t="s">
        <v>100</v>
      </c>
      <c r="C48" s="4" t="str">
        <f t="shared" si="1"/>
        <v>2210RL_005_PF_Bon_01</v>
      </c>
      <c r="D48" s="4" t="s">
        <v>25</v>
      </c>
      <c r="E48" s="5" t="s">
        <v>39</v>
      </c>
      <c r="F48" s="6">
        <v>1.0</v>
      </c>
      <c r="G48" s="7">
        <v>44848.0</v>
      </c>
      <c r="H48" s="8">
        <v>5.0</v>
      </c>
      <c r="I48" s="9" t="s">
        <v>91</v>
      </c>
      <c r="J48" s="4" t="s">
        <v>92</v>
      </c>
      <c r="K48" s="5"/>
      <c r="L48" s="4"/>
      <c r="M48" s="4"/>
      <c r="N48" s="4"/>
      <c r="O48" s="10">
        <v>0.8607060185185185</v>
      </c>
      <c r="P48" s="4"/>
      <c r="Q48" s="10">
        <v>0.8763773148148148</v>
      </c>
      <c r="R48" s="11">
        <f t="shared" si="6"/>
        <v>0.0156712963</v>
      </c>
      <c r="S48" s="4"/>
      <c r="T48" s="9" t="s">
        <v>93</v>
      </c>
      <c r="U48" s="9" t="s">
        <v>94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" t="s">
        <v>23</v>
      </c>
      <c r="B49" s="4" t="s">
        <v>101</v>
      </c>
      <c r="C49" s="4" t="str">
        <f t="shared" si="1"/>
        <v>2210RL_005_PF_Bon_02</v>
      </c>
      <c r="D49" s="4" t="s">
        <v>25</v>
      </c>
      <c r="E49" s="5" t="s">
        <v>39</v>
      </c>
      <c r="F49" s="6">
        <v>2.0</v>
      </c>
      <c r="G49" s="7">
        <v>44848.0</v>
      </c>
      <c r="H49" s="8">
        <v>5.0</v>
      </c>
      <c r="I49" s="9" t="s">
        <v>91</v>
      </c>
      <c r="J49" s="4" t="s">
        <v>92</v>
      </c>
      <c r="K49" s="5"/>
      <c r="L49" s="4"/>
      <c r="M49" s="4"/>
      <c r="N49" s="4"/>
      <c r="O49" s="10">
        <v>0.8607060185185185</v>
      </c>
      <c r="P49" s="4"/>
      <c r="Q49" s="10">
        <v>0.8763773148148148</v>
      </c>
      <c r="R49" s="11">
        <f t="shared" si="6"/>
        <v>0.0156712963</v>
      </c>
      <c r="S49" s="4"/>
      <c r="T49" s="9" t="s">
        <v>93</v>
      </c>
      <c r="U49" s="9" t="s">
        <v>94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4" t="s">
        <v>23</v>
      </c>
      <c r="B50" s="4" t="s">
        <v>102</v>
      </c>
      <c r="C50" s="4" t="str">
        <f t="shared" si="1"/>
        <v>2210RL_005_PF_Bon_03</v>
      </c>
      <c r="D50" s="4" t="s">
        <v>25</v>
      </c>
      <c r="E50" s="5" t="s">
        <v>39</v>
      </c>
      <c r="F50" s="6">
        <v>3.0</v>
      </c>
      <c r="G50" s="7">
        <v>44848.0</v>
      </c>
      <c r="H50" s="8">
        <v>5.0</v>
      </c>
      <c r="I50" s="9" t="s">
        <v>91</v>
      </c>
      <c r="J50" s="4" t="s">
        <v>92</v>
      </c>
      <c r="K50" s="5"/>
      <c r="L50" s="4"/>
      <c r="M50" s="4"/>
      <c r="N50" s="4"/>
      <c r="O50" s="10">
        <v>0.8607060185185185</v>
      </c>
      <c r="P50" s="4"/>
      <c r="Q50" s="10">
        <v>0.8763773148148148</v>
      </c>
      <c r="R50" s="11">
        <f t="shared" si="6"/>
        <v>0.0156712963</v>
      </c>
      <c r="S50" s="4"/>
      <c r="T50" s="9" t="s">
        <v>93</v>
      </c>
      <c r="U50" s="9" t="s">
        <v>94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" t="s">
        <v>23</v>
      </c>
      <c r="B51" s="4" t="s">
        <v>103</v>
      </c>
      <c r="C51" s="4" t="str">
        <f t="shared" si="1"/>
        <v>2210RL_005_PF_Blank</v>
      </c>
      <c r="D51" s="4" t="s">
        <v>25</v>
      </c>
      <c r="E51" s="5"/>
      <c r="F51" s="5" t="s">
        <v>43</v>
      </c>
      <c r="G51" s="7">
        <v>44848.0</v>
      </c>
      <c r="H51" s="8">
        <v>5.0</v>
      </c>
      <c r="I51" s="9" t="s">
        <v>91</v>
      </c>
      <c r="J51" s="4" t="s">
        <v>92</v>
      </c>
      <c r="K51" s="5"/>
      <c r="L51" s="4"/>
      <c r="M51" s="4"/>
      <c r="N51" s="4"/>
      <c r="O51" s="4"/>
      <c r="P51" s="4"/>
      <c r="Q51" s="4"/>
      <c r="R51" s="4"/>
      <c r="S51" s="4"/>
      <c r="T51" s="9" t="s">
        <v>93</v>
      </c>
      <c r="U51" s="9" t="s">
        <v>94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4" t="s">
        <v>23</v>
      </c>
      <c r="B52" s="4" t="s">
        <v>104</v>
      </c>
      <c r="C52" s="4" t="str">
        <f t="shared" si="1"/>
        <v>2210RL_006_PF_CTD_01</v>
      </c>
      <c r="D52" s="4" t="s">
        <v>25</v>
      </c>
      <c r="E52" s="5" t="s">
        <v>26</v>
      </c>
      <c r="F52" s="6">
        <v>1.0</v>
      </c>
      <c r="G52" s="7">
        <v>44849.0</v>
      </c>
      <c r="H52" s="8">
        <v>6.0</v>
      </c>
      <c r="I52" s="9" t="s">
        <v>105</v>
      </c>
      <c r="J52" s="4" t="s">
        <v>106</v>
      </c>
      <c r="K52" s="5"/>
      <c r="L52" s="4"/>
      <c r="M52" s="4"/>
      <c r="N52" s="4"/>
      <c r="O52" s="10">
        <v>0.5213541666666667</v>
      </c>
      <c r="P52" s="10">
        <v>0.5319097222222222</v>
      </c>
      <c r="Q52" s="10">
        <v>0.5477662037037037</v>
      </c>
      <c r="R52" s="11">
        <f t="shared" ref="R52:R60" si="7">Q52-O52</f>
        <v>0.02641203704</v>
      </c>
      <c r="S52" s="4"/>
      <c r="T52" s="9" t="s">
        <v>107</v>
      </c>
      <c r="U52" s="9" t="s">
        <v>108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4" t="s">
        <v>23</v>
      </c>
      <c r="B53" s="4" t="s">
        <v>109</v>
      </c>
      <c r="C53" s="4" t="str">
        <f t="shared" si="1"/>
        <v>2210RL_006_PF_CTD_02</v>
      </c>
      <c r="D53" s="4" t="s">
        <v>25</v>
      </c>
      <c r="E53" s="5" t="s">
        <v>26</v>
      </c>
      <c r="F53" s="6">
        <v>2.0</v>
      </c>
      <c r="G53" s="7">
        <v>44849.0</v>
      </c>
      <c r="H53" s="8">
        <v>6.0</v>
      </c>
      <c r="I53" s="9" t="s">
        <v>105</v>
      </c>
      <c r="J53" s="4" t="s">
        <v>106</v>
      </c>
      <c r="K53" s="5"/>
      <c r="L53" s="4"/>
      <c r="M53" s="4"/>
      <c r="N53" s="4"/>
      <c r="O53" s="10">
        <v>0.5213541666666667</v>
      </c>
      <c r="P53" s="10">
        <v>0.5319097222222222</v>
      </c>
      <c r="Q53" s="10">
        <v>0.5477662037037037</v>
      </c>
      <c r="R53" s="11">
        <f t="shared" si="7"/>
        <v>0.02641203704</v>
      </c>
      <c r="S53" s="4"/>
      <c r="T53" s="9" t="s">
        <v>107</v>
      </c>
      <c r="U53" s="9" t="s">
        <v>108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4" t="s">
        <v>23</v>
      </c>
      <c r="B54" s="4" t="s">
        <v>110</v>
      </c>
      <c r="C54" s="4" t="str">
        <f t="shared" si="1"/>
        <v>2210RL_006_PF_CTD_03</v>
      </c>
      <c r="D54" s="4" t="s">
        <v>25</v>
      </c>
      <c r="E54" s="5" t="s">
        <v>26</v>
      </c>
      <c r="F54" s="6">
        <v>3.0</v>
      </c>
      <c r="G54" s="7">
        <v>44849.0</v>
      </c>
      <c r="H54" s="8">
        <v>6.0</v>
      </c>
      <c r="I54" s="9" t="s">
        <v>105</v>
      </c>
      <c r="J54" s="4" t="s">
        <v>106</v>
      </c>
      <c r="K54" s="5"/>
      <c r="L54" s="4"/>
      <c r="M54" s="4"/>
      <c r="N54" s="4"/>
      <c r="O54" s="10">
        <v>0.5213541666666667</v>
      </c>
      <c r="P54" s="10">
        <v>0.5319097222222222</v>
      </c>
      <c r="Q54" s="10">
        <v>0.5477662037037037</v>
      </c>
      <c r="R54" s="11">
        <f t="shared" si="7"/>
        <v>0.02641203704</v>
      </c>
      <c r="S54" s="4"/>
      <c r="T54" s="9" t="s">
        <v>107</v>
      </c>
      <c r="U54" s="9" t="s">
        <v>108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4" t="s">
        <v>23</v>
      </c>
      <c r="B55" s="4" t="s">
        <v>111</v>
      </c>
      <c r="C55" s="4" t="str">
        <f t="shared" si="1"/>
        <v>2210RL_006_PF_Man_01</v>
      </c>
      <c r="D55" s="4" t="s">
        <v>25</v>
      </c>
      <c r="E55" s="5" t="s">
        <v>35</v>
      </c>
      <c r="F55" s="6">
        <v>1.0</v>
      </c>
      <c r="G55" s="7">
        <v>44849.0</v>
      </c>
      <c r="H55" s="8">
        <v>6.0</v>
      </c>
      <c r="I55" s="9" t="s">
        <v>105</v>
      </c>
      <c r="J55" s="4" t="s">
        <v>106</v>
      </c>
      <c r="K55" s="5"/>
      <c r="L55" s="4"/>
      <c r="M55" s="4"/>
      <c r="N55" s="4"/>
      <c r="O55" s="10">
        <v>0.554537037037037</v>
      </c>
      <c r="P55" s="4"/>
      <c r="Q55" s="10">
        <v>0.5655671296296296</v>
      </c>
      <c r="R55" s="11">
        <f t="shared" si="7"/>
        <v>0.01103009259</v>
      </c>
      <c r="S55" s="4"/>
      <c r="T55" s="9" t="s">
        <v>107</v>
      </c>
      <c r="U55" s="9" t="s">
        <v>108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4" t="s">
        <v>23</v>
      </c>
      <c r="B56" s="4" t="s">
        <v>112</v>
      </c>
      <c r="C56" s="4" t="str">
        <f t="shared" si="1"/>
        <v>2210RL_006_PF_Man_02</v>
      </c>
      <c r="D56" s="4" t="s">
        <v>25</v>
      </c>
      <c r="E56" s="5" t="s">
        <v>35</v>
      </c>
      <c r="F56" s="6">
        <v>2.0</v>
      </c>
      <c r="G56" s="7">
        <v>44849.0</v>
      </c>
      <c r="H56" s="8">
        <v>6.0</v>
      </c>
      <c r="I56" s="9" t="s">
        <v>105</v>
      </c>
      <c r="J56" s="4" t="s">
        <v>106</v>
      </c>
      <c r="K56" s="5"/>
      <c r="L56" s="4"/>
      <c r="M56" s="4"/>
      <c r="N56" s="4"/>
      <c r="O56" s="10">
        <v>0.554537037037037</v>
      </c>
      <c r="P56" s="4"/>
      <c r="Q56" s="10">
        <v>0.5655671296296296</v>
      </c>
      <c r="R56" s="11">
        <f t="shared" si="7"/>
        <v>0.01103009259</v>
      </c>
      <c r="S56" s="4"/>
      <c r="T56" s="9" t="s">
        <v>107</v>
      </c>
      <c r="U56" s="9" t="s">
        <v>108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4" t="s">
        <v>23</v>
      </c>
      <c r="B57" s="4" t="s">
        <v>113</v>
      </c>
      <c r="C57" s="4" t="str">
        <f t="shared" si="1"/>
        <v>2210RL_006_PF_Man_03</v>
      </c>
      <c r="D57" s="4" t="s">
        <v>25</v>
      </c>
      <c r="E57" s="5" t="s">
        <v>35</v>
      </c>
      <c r="F57" s="6">
        <v>3.0</v>
      </c>
      <c r="G57" s="7">
        <v>44849.0</v>
      </c>
      <c r="H57" s="8">
        <v>6.0</v>
      </c>
      <c r="I57" s="9" t="s">
        <v>105</v>
      </c>
      <c r="J57" s="4" t="s">
        <v>106</v>
      </c>
      <c r="K57" s="5"/>
      <c r="L57" s="4"/>
      <c r="M57" s="4"/>
      <c r="N57" s="4"/>
      <c r="O57" s="10">
        <v>0.554537037037037</v>
      </c>
      <c r="P57" s="4"/>
      <c r="Q57" s="10">
        <v>0.5655671296296296</v>
      </c>
      <c r="R57" s="11">
        <f t="shared" si="7"/>
        <v>0.01103009259</v>
      </c>
      <c r="S57" s="4"/>
      <c r="T57" s="9" t="s">
        <v>107</v>
      </c>
      <c r="U57" s="9" t="s">
        <v>108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4" t="s">
        <v>23</v>
      </c>
      <c r="B58" s="4" t="s">
        <v>114</v>
      </c>
      <c r="C58" s="4" t="str">
        <f t="shared" si="1"/>
        <v>2210RL_006_PF_Bon_01</v>
      </c>
      <c r="D58" s="4" t="s">
        <v>25</v>
      </c>
      <c r="E58" s="5" t="s">
        <v>39</v>
      </c>
      <c r="F58" s="6">
        <v>1.0</v>
      </c>
      <c r="G58" s="7">
        <v>44849.0</v>
      </c>
      <c r="H58" s="8">
        <v>6.0</v>
      </c>
      <c r="I58" s="9" t="s">
        <v>105</v>
      </c>
      <c r="J58" s="4" t="s">
        <v>106</v>
      </c>
      <c r="K58" s="5"/>
      <c r="L58" s="4"/>
      <c r="M58" s="4"/>
      <c r="N58" s="4"/>
      <c r="O58" s="10">
        <v>0.5693865740740741</v>
      </c>
      <c r="P58" s="4"/>
      <c r="Q58" s="10">
        <v>0.5846875</v>
      </c>
      <c r="R58" s="11">
        <f t="shared" si="7"/>
        <v>0.01530092593</v>
      </c>
      <c r="S58" s="4"/>
      <c r="T58" s="9" t="s">
        <v>107</v>
      </c>
      <c r="U58" s="9" t="s">
        <v>108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" t="s">
        <v>23</v>
      </c>
      <c r="B59" s="4" t="s">
        <v>115</v>
      </c>
      <c r="C59" s="4" t="str">
        <f t="shared" si="1"/>
        <v>2210RL_006_PF_Bon_02</v>
      </c>
      <c r="D59" s="4" t="s">
        <v>25</v>
      </c>
      <c r="E59" s="5" t="s">
        <v>39</v>
      </c>
      <c r="F59" s="6">
        <v>2.0</v>
      </c>
      <c r="G59" s="7">
        <v>44849.0</v>
      </c>
      <c r="H59" s="8">
        <v>6.0</v>
      </c>
      <c r="I59" s="9" t="s">
        <v>105</v>
      </c>
      <c r="J59" s="4" t="s">
        <v>106</v>
      </c>
      <c r="K59" s="5"/>
      <c r="L59" s="4"/>
      <c r="M59" s="4"/>
      <c r="N59" s="4"/>
      <c r="O59" s="10">
        <v>0.5693865740740741</v>
      </c>
      <c r="P59" s="4"/>
      <c r="Q59" s="10">
        <v>0.5846875</v>
      </c>
      <c r="R59" s="11">
        <f t="shared" si="7"/>
        <v>0.01530092593</v>
      </c>
      <c r="S59" s="4"/>
      <c r="T59" s="9" t="s">
        <v>107</v>
      </c>
      <c r="U59" s="9" t="s">
        <v>108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4" t="s">
        <v>23</v>
      </c>
      <c r="B60" s="4" t="s">
        <v>116</v>
      </c>
      <c r="C60" s="4" t="str">
        <f t="shared" si="1"/>
        <v>2210RL_006_PF_Bon_03</v>
      </c>
      <c r="D60" s="4" t="s">
        <v>25</v>
      </c>
      <c r="E60" s="5" t="s">
        <v>39</v>
      </c>
      <c r="F60" s="6">
        <v>3.0</v>
      </c>
      <c r="G60" s="7">
        <v>44849.0</v>
      </c>
      <c r="H60" s="8">
        <v>6.0</v>
      </c>
      <c r="I60" s="9" t="s">
        <v>105</v>
      </c>
      <c r="J60" s="4" t="s">
        <v>106</v>
      </c>
      <c r="K60" s="5"/>
      <c r="L60" s="4"/>
      <c r="M60" s="4"/>
      <c r="N60" s="4"/>
      <c r="O60" s="10">
        <v>0.5693865740740741</v>
      </c>
      <c r="P60" s="4"/>
      <c r="Q60" s="10">
        <v>0.5846875</v>
      </c>
      <c r="R60" s="11">
        <f t="shared" si="7"/>
        <v>0.01530092593</v>
      </c>
      <c r="S60" s="4"/>
      <c r="T60" s="9" t="s">
        <v>107</v>
      </c>
      <c r="U60" s="9" t="s">
        <v>108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 t="s">
        <v>23</v>
      </c>
      <c r="B61" s="4" t="s">
        <v>117</v>
      </c>
      <c r="C61" s="4" t="str">
        <f t="shared" si="1"/>
        <v>2210RL_006_PF_Blank</v>
      </c>
      <c r="D61" s="4" t="s">
        <v>25</v>
      </c>
      <c r="E61" s="5"/>
      <c r="F61" s="5" t="s">
        <v>43</v>
      </c>
      <c r="G61" s="7">
        <v>44849.0</v>
      </c>
      <c r="H61" s="8">
        <v>6.0</v>
      </c>
      <c r="I61" s="9" t="s">
        <v>105</v>
      </c>
      <c r="J61" s="4" t="s">
        <v>106</v>
      </c>
      <c r="K61" s="5"/>
      <c r="L61" s="4"/>
      <c r="M61" s="4"/>
      <c r="N61" s="4"/>
      <c r="O61" s="4"/>
      <c r="P61" s="4"/>
      <c r="Q61" s="4"/>
      <c r="R61" s="4"/>
      <c r="S61" s="4"/>
      <c r="T61" s="9" t="s">
        <v>107</v>
      </c>
      <c r="U61" s="9" t="s">
        <v>108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 t="s">
        <v>23</v>
      </c>
      <c r="B62" s="4" t="s">
        <v>118</v>
      </c>
      <c r="C62" s="4" t="str">
        <f t="shared" si="1"/>
        <v>2210RL_007_PF_CTD_01</v>
      </c>
      <c r="D62" s="4" t="s">
        <v>25</v>
      </c>
      <c r="E62" s="5" t="s">
        <v>26</v>
      </c>
      <c r="F62" s="6">
        <v>1.0</v>
      </c>
      <c r="G62" s="7">
        <v>44849.0</v>
      </c>
      <c r="H62" s="8">
        <v>7.0</v>
      </c>
      <c r="I62" s="9" t="s">
        <v>119</v>
      </c>
      <c r="J62" s="4" t="s">
        <v>120</v>
      </c>
      <c r="K62" s="5"/>
      <c r="L62" s="4"/>
      <c r="M62" s="4"/>
      <c r="N62" s="4"/>
      <c r="O62" s="10">
        <v>0.6724305555555555</v>
      </c>
      <c r="P62" s="10">
        <v>0.6782175925925926</v>
      </c>
      <c r="Q62" s="10">
        <v>0.6904050925925926</v>
      </c>
      <c r="R62" s="11">
        <f t="shared" ref="R62:R70" si="8">Q62-O62</f>
        <v>0.01797453704</v>
      </c>
      <c r="S62" s="4"/>
      <c r="T62" s="9" t="s">
        <v>121</v>
      </c>
      <c r="U62" s="9" t="s">
        <v>122</v>
      </c>
      <c r="V62" s="12" t="s">
        <v>123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 t="s">
        <v>23</v>
      </c>
      <c r="B63" s="4" t="s">
        <v>124</v>
      </c>
      <c r="C63" s="4" t="str">
        <f t="shared" si="1"/>
        <v>2210RL_007_PF_CTD_02</v>
      </c>
      <c r="D63" s="4" t="s">
        <v>25</v>
      </c>
      <c r="E63" s="5" t="s">
        <v>26</v>
      </c>
      <c r="F63" s="6">
        <v>2.0</v>
      </c>
      <c r="G63" s="7">
        <v>44849.0</v>
      </c>
      <c r="H63" s="8">
        <v>7.0</v>
      </c>
      <c r="I63" s="9" t="s">
        <v>119</v>
      </c>
      <c r="J63" s="4" t="s">
        <v>120</v>
      </c>
      <c r="K63" s="5"/>
      <c r="L63" s="4"/>
      <c r="M63" s="4"/>
      <c r="N63" s="4"/>
      <c r="O63" s="10">
        <v>0.6724305555555555</v>
      </c>
      <c r="P63" s="10">
        <v>0.6782175925925926</v>
      </c>
      <c r="Q63" s="10">
        <v>0.6904050925925926</v>
      </c>
      <c r="R63" s="11">
        <f t="shared" si="8"/>
        <v>0.01797453704</v>
      </c>
      <c r="S63" s="4"/>
      <c r="T63" s="9" t="s">
        <v>121</v>
      </c>
      <c r="U63" s="9" t="s">
        <v>122</v>
      </c>
      <c r="V63" s="12" t="s">
        <v>123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 t="s">
        <v>23</v>
      </c>
      <c r="B64" s="4" t="s">
        <v>125</v>
      </c>
      <c r="C64" s="4" t="str">
        <f t="shared" si="1"/>
        <v>2210RL_007_PF_CTD_03</v>
      </c>
      <c r="D64" s="4" t="s">
        <v>25</v>
      </c>
      <c r="E64" s="5" t="s">
        <v>26</v>
      </c>
      <c r="F64" s="6">
        <v>3.0</v>
      </c>
      <c r="G64" s="7">
        <v>44849.0</v>
      </c>
      <c r="H64" s="8">
        <v>7.0</v>
      </c>
      <c r="I64" s="9" t="s">
        <v>119</v>
      </c>
      <c r="J64" s="4" t="s">
        <v>120</v>
      </c>
      <c r="K64" s="5"/>
      <c r="L64" s="4"/>
      <c r="M64" s="4"/>
      <c r="N64" s="4"/>
      <c r="O64" s="10">
        <v>0.6724305555555555</v>
      </c>
      <c r="P64" s="10">
        <v>0.6782175925925926</v>
      </c>
      <c r="Q64" s="10">
        <v>0.6904050925925926</v>
      </c>
      <c r="R64" s="11">
        <f t="shared" si="8"/>
        <v>0.01797453704</v>
      </c>
      <c r="S64" s="4"/>
      <c r="T64" s="9" t="s">
        <v>121</v>
      </c>
      <c r="U64" s="9" t="s">
        <v>122</v>
      </c>
      <c r="V64" s="12" t="s">
        <v>123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 t="s">
        <v>23</v>
      </c>
      <c r="B65" s="4" t="s">
        <v>126</v>
      </c>
      <c r="C65" s="4" t="str">
        <f t="shared" si="1"/>
        <v>2210RL_007_PF_Bon_01</v>
      </c>
      <c r="D65" s="4" t="s">
        <v>25</v>
      </c>
      <c r="E65" s="5" t="s">
        <v>39</v>
      </c>
      <c r="F65" s="6">
        <v>1.0</v>
      </c>
      <c r="G65" s="7">
        <v>44849.0</v>
      </c>
      <c r="H65" s="8">
        <v>7.0</v>
      </c>
      <c r="I65" s="9" t="s">
        <v>119</v>
      </c>
      <c r="J65" s="4" t="s">
        <v>120</v>
      </c>
      <c r="K65" s="5"/>
      <c r="L65" s="4"/>
      <c r="M65" s="4"/>
      <c r="N65" s="4"/>
      <c r="O65" s="10">
        <v>0.7104513888888889</v>
      </c>
      <c r="P65" s="4"/>
      <c r="Q65" s="10">
        <v>0.7256597222222222</v>
      </c>
      <c r="R65" s="11">
        <f t="shared" si="8"/>
        <v>0.01520833333</v>
      </c>
      <c r="S65" s="4"/>
      <c r="T65" s="9" t="s">
        <v>121</v>
      </c>
      <c r="U65" s="9" t="s">
        <v>122</v>
      </c>
      <c r="V65" s="12" t="s">
        <v>123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 t="s">
        <v>23</v>
      </c>
      <c r="B66" s="4" t="s">
        <v>127</v>
      </c>
      <c r="C66" s="4" t="str">
        <f t="shared" si="1"/>
        <v>2210RL_007_PF_Bon_02</v>
      </c>
      <c r="D66" s="4" t="s">
        <v>25</v>
      </c>
      <c r="E66" s="5" t="s">
        <v>39</v>
      </c>
      <c r="F66" s="6">
        <v>2.0</v>
      </c>
      <c r="G66" s="7">
        <v>44849.0</v>
      </c>
      <c r="H66" s="8">
        <v>7.0</v>
      </c>
      <c r="I66" s="9" t="s">
        <v>119</v>
      </c>
      <c r="J66" s="4" t="s">
        <v>120</v>
      </c>
      <c r="K66" s="5"/>
      <c r="L66" s="4"/>
      <c r="M66" s="4"/>
      <c r="N66" s="4"/>
      <c r="O66" s="10">
        <v>0.7104513888888889</v>
      </c>
      <c r="P66" s="4"/>
      <c r="Q66" s="10">
        <v>0.7256597222222222</v>
      </c>
      <c r="R66" s="11">
        <f t="shared" si="8"/>
        <v>0.01520833333</v>
      </c>
      <c r="S66" s="4"/>
      <c r="T66" s="9" t="s">
        <v>121</v>
      </c>
      <c r="U66" s="9" t="s">
        <v>122</v>
      </c>
      <c r="V66" s="12" t="s">
        <v>123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 t="s">
        <v>23</v>
      </c>
      <c r="B67" s="4" t="s">
        <v>128</v>
      </c>
      <c r="C67" s="4" t="str">
        <f t="shared" si="1"/>
        <v>2210RL_007_PF_Bon_03</v>
      </c>
      <c r="D67" s="4" t="s">
        <v>25</v>
      </c>
      <c r="E67" s="5" t="s">
        <v>39</v>
      </c>
      <c r="F67" s="6">
        <v>3.0</v>
      </c>
      <c r="G67" s="7">
        <v>44849.0</v>
      </c>
      <c r="H67" s="8">
        <v>7.0</v>
      </c>
      <c r="I67" s="9" t="s">
        <v>119</v>
      </c>
      <c r="J67" s="4" t="s">
        <v>120</v>
      </c>
      <c r="K67" s="5"/>
      <c r="L67" s="4"/>
      <c r="M67" s="4"/>
      <c r="N67" s="4"/>
      <c r="O67" s="10">
        <v>0.7104513888888889</v>
      </c>
      <c r="P67" s="4"/>
      <c r="Q67" s="10">
        <v>0.7256597222222222</v>
      </c>
      <c r="R67" s="11">
        <f t="shared" si="8"/>
        <v>0.01520833333</v>
      </c>
      <c r="S67" s="4"/>
      <c r="T67" s="9" t="s">
        <v>121</v>
      </c>
      <c r="U67" s="9" t="s">
        <v>122</v>
      </c>
      <c r="V67" s="12" t="s">
        <v>123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 t="s">
        <v>23</v>
      </c>
      <c r="B68" s="4" t="s">
        <v>129</v>
      </c>
      <c r="C68" s="4" t="str">
        <f t="shared" si="1"/>
        <v>2210RL_007_PF_Man_01</v>
      </c>
      <c r="D68" s="4" t="s">
        <v>25</v>
      </c>
      <c r="E68" s="5" t="s">
        <v>35</v>
      </c>
      <c r="F68" s="6">
        <v>1.0</v>
      </c>
      <c r="G68" s="7">
        <v>44849.0</v>
      </c>
      <c r="H68" s="8">
        <v>7.0</v>
      </c>
      <c r="I68" s="9" t="s">
        <v>119</v>
      </c>
      <c r="J68" s="4" t="s">
        <v>120</v>
      </c>
      <c r="K68" s="5"/>
      <c r="L68" s="4"/>
      <c r="M68" s="4"/>
      <c r="N68" s="4"/>
      <c r="O68" s="10">
        <v>0.6967476851851852</v>
      </c>
      <c r="P68" s="4"/>
      <c r="Q68" s="10">
        <v>0.7074421296296296</v>
      </c>
      <c r="R68" s="11">
        <f t="shared" si="8"/>
        <v>0.01069444444</v>
      </c>
      <c r="S68" s="4"/>
      <c r="T68" s="9" t="s">
        <v>121</v>
      </c>
      <c r="U68" s="9" t="s">
        <v>122</v>
      </c>
      <c r="V68" s="12" t="s">
        <v>123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 t="s">
        <v>23</v>
      </c>
      <c r="B69" s="4" t="s">
        <v>130</v>
      </c>
      <c r="C69" s="4" t="str">
        <f t="shared" si="1"/>
        <v>2210RL_007_PF_Man_02</v>
      </c>
      <c r="D69" s="4" t="s">
        <v>25</v>
      </c>
      <c r="E69" s="5" t="s">
        <v>35</v>
      </c>
      <c r="F69" s="6">
        <v>2.0</v>
      </c>
      <c r="G69" s="7">
        <v>44849.0</v>
      </c>
      <c r="H69" s="8">
        <v>7.0</v>
      </c>
      <c r="I69" s="9" t="s">
        <v>119</v>
      </c>
      <c r="J69" s="4" t="s">
        <v>120</v>
      </c>
      <c r="K69" s="5"/>
      <c r="L69" s="4"/>
      <c r="M69" s="4"/>
      <c r="N69" s="4"/>
      <c r="O69" s="10">
        <v>0.6967476851851852</v>
      </c>
      <c r="P69" s="4"/>
      <c r="Q69" s="10">
        <v>0.7074421296296296</v>
      </c>
      <c r="R69" s="11">
        <f t="shared" si="8"/>
        <v>0.01069444444</v>
      </c>
      <c r="S69" s="4"/>
      <c r="T69" s="9" t="s">
        <v>121</v>
      </c>
      <c r="U69" s="9" t="s">
        <v>122</v>
      </c>
      <c r="V69" s="12" t="s">
        <v>123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" t="s">
        <v>23</v>
      </c>
      <c r="B70" s="4" t="s">
        <v>131</v>
      </c>
      <c r="C70" s="4" t="str">
        <f t="shared" si="1"/>
        <v>2210RL_007_PF_Man_03</v>
      </c>
      <c r="D70" s="4" t="s">
        <v>25</v>
      </c>
      <c r="E70" s="5" t="s">
        <v>35</v>
      </c>
      <c r="F70" s="6">
        <v>3.0</v>
      </c>
      <c r="G70" s="7">
        <v>44849.0</v>
      </c>
      <c r="H70" s="8">
        <v>7.0</v>
      </c>
      <c r="I70" s="9" t="s">
        <v>119</v>
      </c>
      <c r="J70" s="4" t="s">
        <v>120</v>
      </c>
      <c r="K70" s="5"/>
      <c r="L70" s="4"/>
      <c r="M70" s="4"/>
      <c r="N70" s="8">
        <v>1508.0</v>
      </c>
      <c r="O70" s="10">
        <v>0.6967476851851852</v>
      </c>
      <c r="P70" s="4"/>
      <c r="Q70" s="10">
        <v>0.7074421296296296</v>
      </c>
      <c r="R70" s="11">
        <f t="shared" si="8"/>
        <v>0.01069444444</v>
      </c>
      <c r="S70" s="4"/>
      <c r="T70" s="9" t="s">
        <v>121</v>
      </c>
      <c r="U70" s="9" t="s">
        <v>122</v>
      </c>
      <c r="V70" s="12" t="s">
        <v>123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4" t="s">
        <v>23</v>
      </c>
      <c r="B71" s="4" t="s">
        <v>132</v>
      </c>
      <c r="C71" s="4" t="str">
        <f t="shared" si="1"/>
        <v>2210RL_007_PF_Blank</v>
      </c>
      <c r="D71" s="4" t="s">
        <v>25</v>
      </c>
      <c r="E71" s="5"/>
      <c r="F71" s="5" t="s">
        <v>43</v>
      </c>
      <c r="G71" s="7">
        <v>44849.0</v>
      </c>
      <c r="H71" s="8">
        <v>7.0</v>
      </c>
      <c r="I71" s="9" t="s">
        <v>119</v>
      </c>
      <c r="J71" s="4" t="s">
        <v>120</v>
      </c>
      <c r="K71" s="5"/>
      <c r="L71" s="4"/>
      <c r="M71" s="4"/>
      <c r="N71" s="8">
        <v>1508.0</v>
      </c>
      <c r="O71" s="4"/>
      <c r="P71" s="4"/>
      <c r="Q71" s="4"/>
      <c r="R71" s="4"/>
      <c r="S71" s="4"/>
      <c r="T71" s="9" t="s">
        <v>121</v>
      </c>
      <c r="U71" s="9" t="s">
        <v>122</v>
      </c>
      <c r="V71" s="12" t="s">
        <v>123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" t="s">
        <v>23</v>
      </c>
      <c r="B72" s="4" t="s">
        <v>133</v>
      </c>
      <c r="C72" s="4" t="str">
        <f t="shared" si="1"/>
        <v>2210RL_008_PF_CTD_01</v>
      </c>
      <c r="D72" s="4" t="s">
        <v>25</v>
      </c>
      <c r="E72" s="5" t="s">
        <v>26</v>
      </c>
      <c r="F72" s="6">
        <v>1.0</v>
      </c>
      <c r="G72" s="7">
        <v>44849.0</v>
      </c>
      <c r="H72" s="8">
        <v>8.0</v>
      </c>
      <c r="I72" s="9" t="s">
        <v>134</v>
      </c>
      <c r="J72" s="4" t="s">
        <v>135</v>
      </c>
      <c r="K72" s="5"/>
      <c r="L72" s="4"/>
      <c r="M72" s="4"/>
      <c r="N72" s="4"/>
      <c r="O72" s="10">
        <v>0.7835416666666667</v>
      </c>
      <c r="P72" s="10">
        <v>0.7894907407407408</v>
      </c>
      <c r="Q72" s="10">
        <v>0.7944791666666666</v>
      </c>
      <c r="R72" s="11">
        <f t="shared" ref="R72:R80" si="9">Q72-O72</f>
        <v>0.0109375</v>
      </c>
      <c r="S72" s="4"/>
      <c r="T72" s="9" t="s">
        <v>136</v>
      </c>
      <c r="U72" s="9" t="s">
        <v>137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4" t="s">
        <v>23</v>
      </c>
      <c r="B73" s="4" t="s">
        <v>138</v>
      </c>
      <c r="C73" s="4" t="str">
        <f t="shared" si="1"/>
        <v>2210RL_008_PF_CTD_02</v>
      </c>
      <c r="D73" s="4" t="s">
        <v>25</v>
      </c>
      <c r="E73" s="5" t="s">
        <v>26</v>
      </c>
      <c r="F73" s="6">
        <v>2.0</v>
      </c>
      <c r="G73" s="7">
        <v>44849.0</v>
      </c>
      <c r="H73" s="8">
        <v>8.0</v>
      </c>
      <c r="I73" s="9" t="s">
        <v>134</v>
      </c>
      <c r="J73" s="4" t="s">
        <v>135</v>
      </c>
      <c r="K73" s="5"/>
      <c r="L73" s="4"/>
      <c r="M73" s="4"/>
      <c r="N73" s="4"/>
      <c r="O73" s="10">
        <v>0.7835416666666667</v>
      </c>
      <c r="P73" s="10">
        <v>0.7894907407407408</v>
      </c>
      <c r="Q73" s="10">
        <v>0.7944791666666666</v>
      </c>
      <c r="R73" s="11">
        <f t="shared" si="9"/>
        <v>0.0109375</v>
      </c>
      <c r="S73" s="4"/>
      <c r="T73" s="9" t="s">
        <v>136</v>
      </c>
      <c r="U73" s="9" t="s">
        <v>137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4" t="s">
        <v>23</v>
      </c>
      <c r="B74" s="4" t="s">
        <v>139</v>
      </c>
      <c r="C74" s="4" t="str">
        <f t="shared" si="1"/>
        <v>2210RL_008_PF_CTD_03</v>
      </c>
      <c r="D74" s="4" t="s">
        <v>25</v>
      </c>
      <c r="E74" s="5" t="s">
        <v>26</v>
      </c>
      <c r="F74" s="6">
        <v>3.0</v>
      </c>
      <c r="G74" s="7">
        <v>44849.0</v>
      </c>
      <c r="H74" s="8">
        <v>8.0</v>
      </c>
      <c r="I74" s="9" t="s">
        <v>134</v>
      </c>
      <c r="J74" s="4" t="s">
        <v>135</v>
      </c>
      <c r="K74" s="5"/>
      <c r="L74" s="4"/>
      <c r="M74" s="4"/>
      <c r="N74" s="4"/>
      <c r="O74" s="10">
        <v>0.7835416666666667</v>
      </c>
      <c r="P74" s="10">
        <v>0.7894907407407408</v>
      </c>
      <c r="Q74" s="10">
        <v>0.7944791666666666</v>
      </c>
      <c r="R74" s="11">
        <f t="shared" si="9"/>
        <v>0.0109375</v>
      </c>
      <c r="S74" s="4"/>
      <c r="T74" s="9" t="s">
        <v>136</v>
      </c>
      <c r="U74" s="9" t="s">
        <v>137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" t="s">
        <v>23</v>
      </c>
      <c r="B75" s="4" t="s">
        <v>140</v>
      </c>
      <c r="C75" s="4" t="str">
        <f t="shared" si="1"/>
        <v>2210RL_008_PF_Man_01</v>
      </c>
      <c r="D75" s="4" t="s">
        <v>25</v>
      </c>
      <c r="E75" s="5" t="s">
        <v>35</v>
      </c>
      <c r="F75" s="6">
        <v>1.0</v>
      </c>
      <c r="G75" s="7">
        <v>44849.0</v>
      </c>
      <c r="H75" s="8">
        <v>8.0</v>
      </c>
      <c r="I75" s="9" t="s">
        <v>134</v>
      </c>
      <c r="J75" s="4" t="s">
        <v>135</v>
      </c>
      <c r="K75" s="5"/>
      <c r="L75" s="4"/>
      <c r="M75" s="4"/>
      <c r="N75" s="4"/>
      <c r="O75" s="10">
        <v>0.8097569444444445</v>
      </c>
      <c r="P75" s="4"/>
      <c r="Q75" s="10">
        <v>0.8204398148148148</v>
      </c>
      <c r="R75" s="11">
        <f t="shared" si="9"/>
        <v>0.01068287037</v>
      </c>
      <c r="S75" s="4"/>
      <c r="T75" s="9" t="s">
        <v>136</v>
      </c>
      <c r="U75" s="9" t="s">
        <v>137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4" t="s">
        <v>23</v>
      </c>
      <c r="B76" s="4" t="s">
        <v>141</v>
      </c>
      <c r="C76" s="4" t="str">
        <f t="shared" si="1"/>
        <v>2210RL_008_PF_Man_02</v>
      </c>
      <c r="D76" s="4" t="s">
        <v>25</v>
      </c>
      <c r="E76" s="5" t="s">
        <v>35</v>
      </c>
      <c r="F76" s="6">
        <v>2.0</v>
      </c>
      <c r="G76" s="7">
        <v>44849.0</v>
      </c>
      <c r="H76" s="8">
        <v>8.0</v>
      </c>
      <c r="I76" s="9" t="s">
        <v>134</v>
      </c>
      <c r="J76" s="4" t="s">
        <v>135</v>
      </c>
      <c r="K76" s="5"/>
      <c r="L76" s="4"/>
      <c r="M76" s="4"/>
      <c r="N76" s="4"/>
      <c r="O76" s="10">
        <v>0.8097569444444445</v>
      </c>
      <c r="P76" s="4"/>
      <c r="Q76" s="10">
        <v>0.8204398148148148</v>
      </c>
      <c r="R76" s="11">
        <f t="shared" si="9"/>
        <v>0.01068287037</v>
      </c>
      <c r="S76" s="4"/>
      <c r="T76" s="9" t="s">
        <v>136</v>
      </c>
      <c r="U76" s="9" t="s">
        <v>137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" t="s">
        <v>23</v>
      </c>
      <c r="B77" s="4" t="s">
        <v>142</v>
      </c>
      <c r="C77" s="4" t="str">
        <f t="shared" si="1"/>
        <v>2210RL_008_PF_Man_03</v>
      </c>
      <c r="D77" s="4" t="s">
        <v>25</v>
      </c>
      <c r="E77" s="5" t="s">
        <v>35</v>
      </c>
      <c r="F77" s="6">
        <v>3.0</v>
      </c>
      <c r="G77" s="7">
        <v>44849.0</v>
      </c>
      <c r="H77" s="8">
        <v>8.0</v>
      </c>
      <c r="I77" s="9" t="s">
        <v>134</v>
      </c>
      <c r="J77" s="4" t="s">
        <v>135</v>
      </c>
      <c r="K77" s="5"/>
      <c r="L77" s="4"/>
      <c r="M77" s="4"/>
      <c r="N77" s="4"/>
      <c r="O77" s="10">
        <v>0.8097569444444445</v>
      </c>
      <c r="P77" s="4"/>
      <c r="Q77" s="10">
        <v>0.8204398148148148</v>
      </c>
      <c r="R77" s="11">
        <f t="shared" si="9"/>
        <v>0.01068287037</v>
      </c>
      <c r="S77" s="4"/>
      <c r="T77" s="9" t="s">
        <v>136</v>
      </c>
      <c r="U77" s="9" t="s">
        <v>137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4" t="s">
        <v>23</v>
      </c>
      <c r="B78" s="4" t="s">
        <v>143</v>
      </c>
      <c r="C78" s="4" t="str">
        <f t="shared" si="1"/>
        <v>2210RL_008_PF_Bon_01</v>
      </c>
      <c r="D78" s="4" t="s">
        <v>25</v>
      </c>
      <c r="E78" s="5" t="s">
        <v>39</v>
      </c>
      <c r="F78" s="6">
        <v>1.0</v>
      </c>
      <c r="G78" s="7">
        <v>44849.0</v>
      </c>
      <c r="H78" s="8">
        <v>8.0</v>
      </c>
      <c r="I78" s="9" t="s">
        <v>134</v>
      </c>
      <c r="J78" s="4" t="s">
        <v>135</v>
      </c>
      <c r="K78" s="5"/>
      <c r="L78" s="4"/>
      <c r="M78" s="4"/>
      <c r="N78" s="4"/>
      <c r="O78" s="10">
        <v>0.8244560185185185</v>
      </c>
      <c r="P78" s="4"/>
      <c r="Q78" s="10">
        <v>0.8293171296296297</v>
      </c>
      <c r="R78" s="11">
        <f t="shared" si="9"/>
        <v>0.004861111111</v>
      </c>
      <c r="S78" s="4"/>
      <c r="T78" s="9" t="s">
        <v>136</v>
      </c>
      <c r="U78" s="9" t="s">
        <v>137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4" t="s">
        <v>23</v>
      </c>
      <c r="B79" s="4" t="s">
        <v>144</v>
      </c>
      <c r="C79" s="4" t="str">
        <f t="shared" si="1"/>
        <v>2210RL_008_PF_Bon_02</v>
      </c>
      <c r="D79" s="4" t="s">
        <v>25</v>
      </c>
      <c r="E79" s="5" t="s">
        <v>39</v>
      </c>
      <c r="F79" s="6">
        <v>2.0</v>
      </c>
      <c r="G79" s="7">
        <v>44849.0</v>
      </c>
      <c r="H79" s="8">
        <v>8.0</v>
      </c>
      <c r="I79" s="9" t="s">
        <v>134</v>
      </c>
      <c r="J79" s="4" t="s">
        <v>135</v>
      </c>
      <c r="K79" s="5"/>
      <c r="L79" s="4"/>
      <c r="M79" s="4"/>
      <c r="N79" s="4"/>
      <c r="O79" s="10">
        <v>0.8244560185185185</v>
      </c>
      <c r="P79" s="4"/>
      <c r="Q79" s="10">
        <v>0.8293171296296297</v>
      </c>
      <c r="R79" s="11">
        <f t="shared" si="9"/>
        <v>0.004861111111</v>
      </c>
      <c r="S79" s="4"/>
      <c r="T79" s="9" t="s">
        <v>136</v>
      </c>
      <c r="U79" s="9" t="s">
        <v>137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4" t="s">
        <v>23</v>
      </c>
      <c r="B80" s="4" t="s">
        <v>145</v>
      </c>
      <c r="C80" s="4" t="str">
        <f t="shared" si="1"/>
        <v>2210RL_008_PF_Bon_03</v>
      </c>
      <c r="D80" s="4" t="s">
        <v>25</v>
      </c>
      <c r="E80" s="5" t="s">
        <v>39</v>
      </c>
      <c r="F80" s="6">
        <v>3.0</v>
      </c>
      <c r="G80" s="7">
        <v>44849.0</v>
      </c>
      <c r="H80" s="8">
        <v>8.0</v>
      </c>
      <c r="I80" s="9" t="s">
        <v>134</v>
      </c>
      <c r="J80" s="4" t="s">
        <v>135</v>
      </c>
      <c r="K80" s="5"/>
      <c r="L80" s="4"/>
      <c r="M80" s="4"/>
      <c r="N80" s="4"/>
      <c r="O80" s="10">
        <v>0.8244560185185185</v>
      </c>
      <c r="P80" s="4"/>
      <c r="Q80" s="10">
        <v>0.8293171296296297</v>
      </c>
      <c r="R80" s="11">
        <f t="shared" si="9"/>
        <v>0.004861111111</v>
      </c>
      <c r="S80" s="4"/>
      <c r="T80" s="9" t="s">
        <v>136</v>
      </c>
      <c r="U80" s="9" t="s">
        <v>137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4" t="s">
        <v>23</v>
      </c>
      <c r="B81" s="4" t="s">
        <v>146</v>
      </c>
      <c r="C81" s="4" t="str">
        <f t="shared" si="1"/>
        <v>2210RL_008_PF_Blank</v>
      </c>
      <c r="D81" s="4" t="s">
        <v>25</v>
      </c>
      <c r="E81" s="5"/>
      <c r="F81" s="5" t="s">
        <v>43</v>
      </c>
      <c r="G81" s="7">
        <v>44849.0</v>
      </c>
      <c r="H81" s="8">
        <v>8.0</v>
      </c>
      <c r="I81" s="9" t="s">
        <v>134</v>
      </c>
      <c r="J81" s="4" t="s">
        <v>135</v>
      </c>
      <c r="K81" s="5"/>
      <c r="L81" s="4"/>
      <c r="M81" s="4"/>
      <c r="N81" s="4"/>
      <c r="O81" s="4"/>
      <c r="P81" s="4"/>
      <c r="Q81" s="4"/>
      <c r="R81" s="4"/>
      <c r="S81" s="4"/>
      <c r="T81" s="9" t="s">
        <v>136</v>
      </c>
      <c r="U81" s="9" t="s">
        <v>137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4" t="s">
        <v>23</v>
      </c>
      <c r="B82" s="4" t="s">
        <v>147</v>
      </c>
      <c r="C82" s="4" t="str">
        <f t="shared" si="1"/>
        <v>2210RL_009_PF_CTD_01</v>
      </c>
      <c r="D82" s="4" t="s">
        <v>25</v>
      </c>
      <c r="E82" s="5" t="s">
        <v>26</v>
      </c>
      <c r="F82" s="6">
        <v>1.0</v>
      </c>
      <c r="G82" s="7">
        <v>44850.0</v>
      </c>
      <c r="H82" s="8">
        <v>9.0</v>
      </c>
      <c r="I82" s="9" t="s">
        <v>148</v>
      </c>
      <c r="J82" s="4" t="s">
        <v>149</v>
      </c>
      <c r="K82" s="5"/>
      <c r="L82" s="4"/>
      <c r="M82" s="4"/>
      <c r="N82" s="8">
        <v>1203.0</v>
      </c>
      <c r="O82" s="10">
        <v>0.5116550925925926</v>
      </c>
      <c r="P82" s="10">
        <v>0.5216782407407408</v>
      </c>
      <c r="Q82" s="10">
        <v>0.534699074074074</v>
      </c>
      <c r="R82" s="11">
        <f t="shared" ref="R82:R90" si="10">Q82-O82</f>
        <v>0.02304398148</v>
      </c>
      <c r="S82" s="4"/>
      <c r="T82" s="9" t="s">
        <v>150</v>
      </c>
      <c r="U82" s="9" t="s">
        <v>151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4" t="s">
        <v>23</v>
      </c>
      <c r="B83" s="4" t="s">
        <v>152</v>
      </c>
      <c r="C83" s="4" t="str">
        <f t="shared" si="1"/>
        <v>2210RL_009_PF_CTD_02</v>
      </c>
      <c r="D83" s="4" t="s">
        <v>25</v>
      </c>
      <c r="E83" s="5" t="s">
        <v>26</v>
      </c>
      <c r="F83" s="6">
        <v>2.0</v>
      </c>
      <c r="G83" s="7">
        <v>44850.0</v>
      </c>
      <c r="H83" s="8">
        <v>9.0</v>
      </c>
      <c r="I83" s="9" t="s">
        <v>148</v>
      </c>
      <c r="J83" s="4" t="s">
        <v>149</v>
      </c>
      <c r="K83" s="5"/>
      <c r="L83" s="4"/>
      <c r="M83" s="4"/>
      <c r="N83" s="8">
        <v>1203.0</v>
      </c>
      <c r="O83" s="10">
        <v>0.5116550925925926</v>
      </c>
      <c r="P83" s="10">
        <v>0.5216782407407408</v>
      </c>
      <c r="Q83" s="10">
        <v>0.534699074074074</v>
      </c>
      <c r="R83" s="11">
        <f t="shared" si="10"/>
        <v>0.02304398148</v>
      </c>
      <c r="S83" s="4"/>
      <c r="T83" s="9" t="s">
        <v>150</v>
      </c>
      <c r="U83" s="9" t="s">
        <v>151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4" t="s">
        <v>23</v>
      </c>
      <c r="B84" s="4" t="s">
        <v>153</v>
      </c>
      <c r="C84" s="4" t="str">
        <f t="shared" si="1"/>
        <v>2210RL_009_PF_CTD_03</v>
      </c>
      <c r="D84" s="4" t="s">
        <v>25</v>
      </c>
      <c r="E84" s="5" t="s">
        <v>26</v>
      </c>
      <c r="F84" s="6">
        <v>3.0</v>
      </c>
      <c r="G84" s="7">
        <v>44850.0</v>
      </c>
      <c r="H84" s="8">
        <v>9.0</v>
      </c>
      <c r="I84" s="9" t="s">
        <v>148</v>
      </c>
      <c r="J84" s="4" t="s">
        <v>149</v>
      </c>
      <c r="K84" s="5"/>
      <c r="L84" s="4"/>
      <c r="M84" s="4"/>
      <c r="N84" s="8">
        <v>1203.0</v>
      </c>
      <c r="O84" s="10">
        <v>0.5116550925925926</v>
      </c>
      <c r="P84" s="10">
        <v>0.5216782407407408</v>
      </c>
      <c r="Q84" s="10">
        <v>0.534699074074074</v>
      </c>
      <c r="R84" s="11">
        <f t="shared" si="10"/>
        <v>0.02304398148</v>
      </c>
      <c r="S84" s="4"/>
      <c r="T84" s="9" t="s">
        <v>150</v>
      </c>
      <c r="U84" s="9" t="s">
        <v>151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4" t="s">
        <v>23</v>
      </c>
      <c r="B85" s="4" t="s">
        <v>154</v>
      </c>
      <c r="C85" s="4" t="str">
        <f t="shared" si="1"/>
        <v>2210RL_009_PF_Bon_01</v>
      </c>
      <c r="D85" s="4" t="s">
        <v>25</v>
      </c>
      <c r="E85" s="5" t="s">
        <v>39</v>
      </c>
      <c r="F85" s="6">
        <v>1.0</v>
      </c>
      <c r="G85" s="7">
        <v>44850.0</v>
      </c>
      <c r="H85" s="8">
        <v>9.0</v>
      </c>
      <c r="I85" s="9" t="s">
        <v>148</v>
      </c>
      <c r="J85" s="4" t="s">
        <v>149</v>
      </c>
      <c r="K85" s="5"/>
      <c r="L85" s="4"/>
      <c r="M85" s="4"/>
      <c r="N85" s="8">
        <v>1203.0</v>
      </c>
      <c r="O85" s="10">
        <v>0.5568518518518518</v>
      </c>
      <c r="P85" s="4"/>
      <c r="Q85" s="10">
        <v>0.5719560185185185</v>
      </c>
      <c r="R85" s="11">
        <f t="shared" si="10"/>
        <v>0.01510416667</v>
      </c>
      <c r="S85" s="4"/>
      <c r="T85" s="9" t="s">
        <v>150</v>
      </c>
      <c r="U85" s="9" t="s">
        <v>151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4" t="s">
        <v>23</v>
      </c>
      <c r="B86" s="4" t="s">
        <v>155</v>
      </c>
      <c r="C86" s="4" t="str">
        <f t="shared" si="1"/>
        <v>2210RL_009_PF_Bon_02</v>
      </c>
      <c r="D86" s="4" t="s">
        <v>25</v>
      </c>
      <c r="E86" s="5" t="s">
        <v>39</v>
      </c>
      <c r="F86" s="6">
        <v>2.0</v>
      </c>
      <c r="G86" s="7">
        <v>44850.0</v>
      </c>
      <c r="H86" s="8">
        <v>9.0</v>
      </c>
      <c r="I86" s="9" t="s">
        <v>148</v>
      </c>
      <c r="J86" s="4" t="s">
        <v>149</v>
      </c>
      <c r="K86" s="5"/>
      <c r="L86" s="4"/>
      <c r="M86" s="4"/>
      <c r="N86" s="8">
        <v>1203.0</v>
      </c>
      <c r="O86" s="10">
        <v>0.5568518518518518</v>
      </c>
      <c r="P86" s="4"/>
      <c r="Q86" s="10">
        <v>0.5719560185185185</v>
      </c>
      <c r="R86" s="11">
        <f t="shared" si="10"/>
        <v>0.01510416667</v>
      </c>
      <c r="S86" s="4"/>
      <c r="T86" s="9" t="s">
        <v>150</v>
      </c>
      <c r="U86" s="9" t="s">
        <v>151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4" t="s">
        <v>23</v>
      </c>
      <c r="B87" s="4" t="s">
        <v>156</v>
      </c>
      <c r="C87" s="4" t="str">
        <f t="shared" si="1"/>
        <v>2210RL_009_PF_Bon_03</v>
      </c>
      <c r="D87" s="4" t="s">
        <v>25</v>
      </c>
      <c r="E87" s="5" t="s">
        <v>39</v>
      </c>
      <c r="F87" s="6">
        <v>3.0</v>
      </c>
      <c r="G87" s="7">
        <v>44850.0</v>
      </c>
      <c r="H87" s="8">
        <v>9.0</v>
      </c>
      <c r="I87" s="9" t="s">
        <v>148</v>
      </c>
      <c r="J87" s="4" t="s">
        <v>149</v>
      </c>
      <c r="K87" s="5"/>
      <c r="L87" s="4"/>
      <c r="M87" s="4"/>
      <c r="N87" s="4"/>
      <c r="O87" s="10">
        <v>0.5568518518518518</v>
      </c>
      <c r="P87" s="4"/>
      <c r="Q87" s="10">
        <v>0.5719560185185185</v>
      </c>
      <c r="R87" s="11">
        <f t="shared" si="10"/>
        <v>0.01510416667</v>
      </c>
      <c r="S87" s="4"/>
      <c r="T87" s="9" t="s">
        <v>150</v>
      </c>
      <c r="U87" s="9" t="s">
        <v>151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4" t="s">
        <v>23</v>
      </c>
      <c r="B88" s="4" t="s">
        <v>157</v>
      </c>
      <c r="C88" s="4" t="str">
        <f t="shared" si="1"/>
        <v>2210RL_009_PF_Man_01</v>
      </c>
      <c r="D88" s="4" t="s">
        <v>25</v>
      </c>
      <c r="E88" s="5" t="s">
        <v>35</v>
      </c>
      <c r="F88" s="6">
        <v>1.0</v>
      </c>
      <c r="G88" s="7">
        <v>44850.0</v>
      </c>
      <c r="H88" s="8">
        <v>9.0</v>
      </c>
      <c r="I88" s="9" t="s">
        <v>148</v>
      </c>
      <c r="J88" s="4" t="s">
        <v>149</v>
      </c>
      <c r="K88" s="5"/>
      <c r="L88" s="4"/>
      <c r="M88" s="4"/>
      <c r="N88" s="4"/>
      <c r="O88" s="10">
        <v>0.5422453703703703</v>
      </c>
      <c r="P88" s="4"/>
      <c r="Q88" s="10">
        <v>0.552974537037037</v>
      </c>
      <c r="R88" s="11">
        <f t="shared" si="10"/>
        <v>0.01072916667</v>
      </c>
      <c r="S88" s="4"/>
      <c r="T88" s="9" t="s">
        <v>150</v>
      </c>
      <c r="U88" s="9" t="s">
        <v>151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4" t="s">
        <v>23</v>
      </c>
      <c r="B89" s="4" t="s">
        <v>158</v>
      </c>
      <c r="C89" s="4" t="str">
        <f t="shared" si="1"/>
        <v>2210RL_009_PF_Man_02</v>
      </c>
      <c r="D89" s="4" t="s">
        <v>25</v>
      </c>
      <c r="E89" s="5" t="s">
        <v>35</v>
      </c>
      <c r="F89" s="6">
        <v>2.0</v>
      </c>
      <c r="G89" s="7">
        <v>44850.0</v>
      </c>
      <c r="H89" s="8">
        <v>9.0</v>
      </c>
      <c r="I89" s="9" t="s">
        <v>148</v>
      </c>
      <c r="J89" s="4" t="s">
        <v>149</v>
      </c>
      <c r="K89" s="5"/>
      <c r="L89" s="4"/>
      <c r="M89" s="4"/>
      <c r="N89" s="4"/>
      <c r="O89" s="10">
        <v>0.5422453703703703</v>
      </c>
      <c r="P89" s="4"/>
      <c r="Q89" s="10">
        <v>0.552974537037037</v>
      </c>
      <c r="R89" s="11">
        <f t="shared" si="10"/>
        <v>0.01072916667</v>
      </c>
      <c r="S89" s="4"/>
      <c r="T89" s="9" t="s">
        <v>150</v>
      </c>
      <c r="U89" s="9" t="s">
        <v>151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" t="s">
        <v>23</v>
      </c>
      <c r="B90" s="4" t="s">
        <v>159</v>
      </c>
      <c r="C90" s="4" t="str">
        <f t="shared" si="1"/>
        <v>2210RL_009_PF_Man_03</v>
      </c>
      <c r="D90" s="4" t="s">
        <v>25</v>
      </c>
      <c r="E90" s="5" t="s">
        <v>35</v>
      </c>
      <c r="F90" s="6">
        <v>3.0</v>
      </c>
      <c r="G90" s="7">
        <v>44850.0</v>
      </c>
      <c r="H90" s="8">
        <v>9.0</v>
      </c>
      <c r="I90" s="9" t="s">
        <v>148</v>
      </c>
      <c r="J90" s="4" t="s">
        <v>149</v>
      </c>
      <c r="K90" s="5"/>
      <c r="L90" s="4"/>
      <c r="M90" s="4"/>
      <c r="N90" s="4"/>
      <c r="O90" s="10">
        <v>0.5422453703703703</v>
      </c>
      <c r="P90" s="4"/>
      <c r="Q90" s="10">
        <v>0.552974537037037</v>
      </c>
      <c r="R90" s="11">
        <f t="shared" si="10"/>
        <v>0.01072916667</v>
      </c>
      <c r="S90" s="4"/>
      <c r="T90" s="9" t="s">
        <v>150</v>
      </c>
      <c r="U90" s="9" t="s">
        <v>151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4" t="s">
        <v>23</v>
      </c>
      <c r="B91" s="4" t="s">
        <v>160</v>
      </c>
      <c r="C91" s="4" t="str">
        <f t="shared" si="1"/>
        <v>2210RL_009_PF_Blank</v>
      </c>
      <c r="D91" s="4" t="s">
        <v>25</v>
      </c>
      <c r="E91" s="5"/>
      <c r="F91" s="5" t="s">
        <v>43</v>
      </c>
      <c r="G91" s="7">
        <v>44850.0</v>
      </c>
      <c r="H91" s="8">
        <v>9.0</v>
      </c>
      <c r="I91" s="9" t="s">
        <v>148</v>
      </c>
      <c r="J91" s="4" t="s">
        <v>149</v>
      </c>
      <c r="K91" s="5"/>
      <c r="L91" s="4"/>
      <c r="M91" s="4"/>
      <c r="N91" s="4"/>
      <c r="O91" s="4"/>
      <c r="P91" s="4"/>
      <c r="Q91" s="4"/>
      <c r="R91" s="4"/>
      <c r="S91" s="4"/>
      <c r="T91" s="9" t="s">
        <v>150</v>
      </c>
      <c r="U91" s="9" t="s">
        <v>151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4" t="s">
        <v>23</v>
      </c>
      <c r="B92" s="4" t="s">
        <v>161</v>
      </c>
      <c r="C92" s="4" t="str">
        <f t="shared" si="1"/>
        <v>2210RL_010_PF_CTD_01</v>
      </c>
      <c r="D92" s="4" t="s">
        <v>25</v>
      </c>
      <c r="E92" s="5" t="s">
        <v>26</v>
      </c>
      <c r="F92" s="6">
        <v>1.0</v>
      </c>
      <c r="G92" s="7">
        <v>44850.0</v>
      </c>
      <c r="H92" s="8">
        <v>10.0</v>
      </c>
      <c r="I92" s="9" t="s">
        <v>162</v>
      </c>
      <c r="J92" s="4" t="s">
        <v>163</v>
      </c>
      <c r="K92" s="5"/>
      <c r="L92" s="4"/>
      <c r="M92" s="4"/>
      <c r="N92" s="4"/>
      <c r="O92" s="10">
        <v>0.6615625</v>
      </c>
      <c r="P92" s="10">
        <v>0.6724652777777778</v>
      </c>
      <c r="Q92" s="10">
        <v>0.6854050925925926</v>
      </c>
      <c r="R92" s="11">
        <f t="shared" ref="R92:R100" si="11">Q92-O92</f>
        <v>0.02384259259</v>
      </c>
      <c r="S92" s="4"/>
      <c r="T92" s="9" t="s">
        <v>164</v>
      </c>
      <c r="U92" s="9" t="s">
        <v>165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4" t="s">
        <v>23</v>
      </c>
      <c r="B93" s="4" t="s">
        <v>166</v>
      </c>
      <c r="C93" s="4" t="str">
        <f t="shared" si="1"/>
        <v>2210RL_010_PF_CTD_02</v>
      </c>
      <c r="D93" s="4" t="s">
        <v>25</v>
      </c>
      <c r="E93" s="5" t="s">
        <v>26</v>
      </c>
      <c r="F93" s="6">
        <v>2.0</v>
      </c>
      <c r="G93" s="7">
        <v>44850.0</v>
      </c>
      <c r="H93" s="8">
        <v>10.0</v>
      </c>
      <c r="I93" s="9" t="s">
        <v>162</v>
      </c>
      <c r="J93" s="4" t="s">
        <v>163</v>
      </c>
      <c r="K93" s="5"/>
      <c r="L93" s="4"/>
      <c r="M93" s="4"/>
      <c r="N93" s="4"/>
      <c r="O93" s="10">
        <v>0.6615625</v>
      </c>
      <c r="P93" s="10">
        <v>0.6724652777777778</v>
      </c>
      <c r="Q93" s="10">
        <v>0.6854050925925926</v>
      </c>
      <c r="R93" s="11">
        <f t="shared" si="11"/>
        <v>0.02384259259</v>
      </c>
      <c r="S93" s="4"/>
      <c r="T93" s="9" t="s">
        <v>164</v>
      </c>
      <c r="U93" s="9" t="s">
        <v>165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4" t="s">
        <v>23</v>
      </c>
      <c r="B94" s="4" t="s">
        <v>167</v>
      </c>
      <c r="C94" s="4" t="str">
        <f t="shared" si="1"/>
        <v>2210RL_010_PF_CTD_03</v>
      </c>
      <c r="D94" s="4" t="s">
        <v>25</v>
      </c>
      <c r="E94" s="5" t="s">
        <v>26</v>
      </c>
      <c r="F94" s="6">
        <v>3.0</v>
      </c>
      <c r="G94" s="7">
        <v>44850.0</v>
      </c>
      <c r="H94" s="8">
        <v>10.0</v>
      </c>
      <c r="I94" s="9" t="s">
        <v>162</v>
      </c>
      <c r="J94" s="4" t="s">
        <v>163</v>
      </c>
      <c r="K94" s="5"/>
      <c r="L94" s="4"/>
      <c r="M94" s="4"/>
      <c r="N94" s="4"/>
      <c r="O94" s="10">
        <v>0.6615625</v>
      </c>
      <c r="P94" s="10">
        <v>0.6724652777777778</v>
      </c>
      <c r="Q94" s="10">
        <v>0.6854050925925926</v>
      </c>
      <c r="R94" s="11">
        <f t="shared" si="11"/>
        <v>0.02384259259</v>
      </c>
      <c r="S94" s="4"/>
      <c r="T94" s="9" t="s">
        <v>164</v>
      </c>
      <c r="U94" s="9" t="s">
        <v>165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4" t="s">
        <v>23</v>
      </c>
      <c r="B95" s="4" t="s">
        <v>168</v>
      </c>
      <c r="C95" s="4" t="str">
        <f t="shared" si="1"/>
        <v>2210RL_010_PF_Bon_01</v>
      </c>
      <c r="D95" s="4" t="s">
        <v>25</v>
      </c>
      <c r="E95" s="5" t="s">
        <v>39</v>
      </c>
      <c r="F95" s="6">
        <v>1.0</v>
      </c>
      <c r="G95" s="7">
        <v>44850.0</v>
      </c>
      <c r="H95" s="8">
        <v>10.0</v>
      </c>
      <c r="I95" s="9" t="s">
        <v>162</v>
      </c>
      <c r="J95" s="4" t="s">
        <v>163</v>
      </c>
      <c r="K95" s="5"/>
      <c r="L95" s="4"/>
      <c r="M95" s="4"/>
      <c r="N95" s="4"/>
      <c r="O95" s="10">
        <v>0.7035300925925926</v>
      </c>
      <c r="P95" s="4"/>
      <c r="Q95" s="10">
        <v>0.7186805555555555</v>
      </c>
      <c r="R95" s="11">
        <f t="shared" si="11"/>
        <v>0.01515046296</v>
      </c>
      <c r="S95" s="4"/>
      <c r="T95" s="9" t="s">
        <v>164</v>
      </c>
      <c r="U95" s="9" t="s">
        <v>165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4" t="s">
        <v>23</v>
      </c>
      <c r="B96" s="4" t="s">
        <v>169</v>
      </c>
      <c r="C96" s="4" t="str">
        <f t="shared" si="1"/>
        <v>2210RL_010_PF_Bon_02</v>
      </c>
      <c r="D96" s="4" t="s">
        <v>25</v>
      </c>
      <c r="E96" s="5" t="s">
        <v>39</v>
      </c>
      <c r="F96" s="6">
        <v>2.0</v>
      </c>
      <c r="G96" s="7">
        <v>44850.0</v>
      </c>
      <c r="H96" s="8">
        <v>10.0</v>
      </c>
      <c r="I96" s="9" t="s">
        <v>162</v>
      </c>
      <c r="J96" s="4" t="s">
        <v>163</v>
      </c>
      <c r="K96" s="5"/>
      <c r="L96" s="4"/>
      <c r="M96" s="4"/>
      <c r="N96" s="4"/>
      <c r="O96" s="10">
        <v>0.7035300925925926</v>
      </c>
      <c r="P96" s="4"/>
      <c r="Q96" s="10">
        <v>0.7186805555555555</v>
      </c>
      <c r="R96" s="11">
        <f t="shared" si="11"/>
        <v>0.01515046296</v>
      </c>
      <c r="S96" s="4"/>
      <c r="T96" s="9" t="s">
        <v>164</v>
      </c>
      <c r="U96" s="9" t="s">
        <v>165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4" t="s">
        <v>23</v>
      </c>
      <c r="B97" s="4" t="s">
        <v>170</v>
      </c>
      <c r="C97" s="4" t="str">
        <f t="shared" si="1"/>
        <v>2210RL_010_PF_Bon_03</v>
      </c>
      <c r="D97" s="4" t="s">
        <v>25</v>
      </c>
      <c r="E97" s="5" t="s">
        <v>39</v>
      </c>
      <c r="F97" s="6">
        <v>3.0</v>
      </c>
      <c r="G97" s="7">
        <v>44850.0</v>
      </c>
      <c r="H97" s="8">
        <v>10.0</v>
      </c>
      <c r="I97" s="9" t="s">
        <v>162</v>
      </c>
      <c r="J97" s="4" t="s">
        <v>163</v>
      </c>
      <c r="K97" s="5"/>
      <c r="L97" s="4"/>
      <c r="M97" s="4"/>
      <c r="N97" s="4"/>
      <c r="O97" s="10">
        <v>0.7035300925925926</v>
      </c>
      <c r="P97" s="4"/>
      <c r="Q97" s="10">
        <v>0.7186805555555555</v>
      </c>
      <c r="R97" s="11">
        <f t="shared" si="11"/>
        <v>0.01515046296</v>
      </c>
      <c r="S97" s="4"/>
      <c r="T97" s="9" t="s">
        <v>164</v>
      </c>
      <c r="U97" s="9" t="s">
        <v>165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4" t="s">
        <v>23</v>
      </c>
      <c r="B98" s="4" t="s">
        <v>171</v>
      </c>
      <c r="C98" s="4" t="str">
        <f t="shared" si="1"/>
        <v>2210RL_010_PF_Man_01</v>
      </c>
      <c r="D98" s="4" t="s">
        <v>25</v>
      </c>
      <c r="E98" s="5" t="s">
        <v>35</v>
      </c>
      <c r="F98" s="6">
        <v>1.0</v>
      </c>
      <c r="G98" s="7">
        <v>44850.0</v>
      </c>
      <c r="H98" s="8">
        <v>10.0</v>
      </c>
      <c r="I98" s="9" t="s">
        <v>162</v>
      </c>
      <c r="J98" s="4" t="s">
        <v>163</v>
      </c>
      <c r="K98" s="5"/>
      <c r="L98" s="4"/>
      <c r="M98" s="4"/>
      <c r="N98" s="4"/>
      <c r="O98" s="10">
        <v>0.6897569444444445</v>
      </c>
      <c r="P98" s="4"/>
      <c r="Q98" s="10">
        <v>0.7005902777777778</v>
      </c>
      <c r="R98" s="11">
        <f t="shared" si="11"/>
        <v>0.01083333333</v>
      </c>
      <c r="S98" s="4"/>
      <c r="T98" s="9" t="s">
        <v>164</v>
      </c>
      <c r="U98" s="9" t="s">
        <v>165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4" t="s">
        <v>23</v>
      </c>
      <c r="B99" s="4" t="s">
        <v>172</v>
      </c>
      <c r="C99" s="4" t="str">
        <f t="shared" si="1"/>
        <v>2210RL_010_PF_Man_02</v>
      </c>
      <c r="D99" s="4" t="s">
        <v>25</v>
      </c>
      <c r="E99" s="5" t="s">
        <v>35</v>
      </c>
      <c r="F99" s="6">
        <v>2.0</v>
      </c>
      <c r="G99" s="7">
        <v>44850.0</v>
      </c>
      <c r="H99" s="8">
        <v>10.0</v>
      </c>
      <c r="I99" s="9" t="s">
        <v>162</v>
      </c>
      <c r="J99" s="4" t="s">
        <v>163</v>
      </c>
      <c r="K99" s="5"/>
      <c r="L99" s="4"/>
      <c r="M99" s="4"/>
      <c r="N99" s="4"/>
      <c r="O99" s="10">
        <v>0.6897569444444445</v>
      </c>
      <c r="P99" s="4"/>
      <c r="Q99" s="10">
        <v>0.7005902777777778</v>
      </c>
      <c r="R99" s="11">
        <f t="shared" si="11"/>
        <v>0.01083333333</v>
      </c>
      <c r="S99" s="4"/>
      <c r="T99" s="9" t="s">
        <v>164</v>
      </c>
      <c r="U99" s="9" t="s">
        <v>165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4" t="s">
        <v>23</v>
      </c>
      <c r="B100" s="4" t="s">
        <v>173</v>
      </c>
      <c r="C100" s="4" t="str">
        <f t="shared" si="1"/>
        <v>2210RL_010_PF_Man_03</v>
      </c>
      <c r="D100" s="4" t="s">
        <v>25</v>
      </c>
      <c r="E100" s="5" t="s">
        <v>35</v>
      </c>
      <c r="F100" s="6">
        <v>3.0</v>
      </c>
      <c r="G100" s="7">
        <v>44850.0</v>
      </c>
      <c r="H100" s="8">
        <v>10.0</v>
      </c>
      <c r="I100" s="9" t="s">
        <v>162</v>
      </c>
      <c r="J100" s="4" t="s">
        <v>163</v>
      </c>
      <c r="K100" s="5"/>
      <c r="L100" s="4"/>
      <c r="M100" s="4"/>
      <c r="N100" s="4"/>
      <c r="O100" s="10">
        <v>0.6897569444444445</v>
      </c>
      <c r="P100" s="4"/>
      <c r="Q100" s="10">
        <v>0.7005902777777778</v>
      </c>
      <c r="R100" s="11">
        <f t="shared" si="11"/>
        <v>0.01083333333</v>
      </c>
      <c r="S100" s="4"/>
      <c r="T100" s="9" t="s">
        <v>164</v>
      </c>
      <c r="U100" s="9" t="s">
        <v>165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4" t="s">
        <v>23</v>
      </c>
      <c r="B101" s="4" t="s">
        <v>174</v>
      </c>
      <c r="C101" s="4" t="str">
        <f t="shared" si="1"/>
        <v>2210RL_010_PF_Blank</v>
      </c>
      <c r="D101" s="4" t="s">
        <v>25</v>
      </c>
      <c r="E101" s="5"/>
      <c r="F101" s="5" t="s">
        <v>43</v>
      </c>
      <c r="G101" s="7">
        <v>44850.0</v>
      </c>
      <c r="H101" s="8">
        <v>10.0</v>
      </c>
      <c r="I101" s="9" t="s">
        <v>162</v>
      </c>
      <c r="J101" s="4" t="s">
        <v>163</v>
      </c>
      <c r="K101" s="5"/>
      <c r="L101" s="4"/>
      <c r="M101" s="4"/>
      <c r="N101" s="4"/>
      <c r="O101" s="4"/>
      <c r="P101" s="4"/>
      <c r="Q101" s="4"/>
      <c r="R101" s="4"/>
      <c r="S101" s="4"/>
      <c r="T101" s="9" t="s">
        <v>164</v>
      </c>
      <c r="U101" s="9" t="s">
        <v>165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4" t="s">
        <v>23</v>
      </c>
      <c r="B102" s="4" t="s">
        <v>175</v>
      </c>
      <c r="C102" s="4" t="str">
        <f t="shared" si="1"/>
        <v>2210RL_011_PF_CTD_01</v>
      </c>
      <c r="D102" s="4" t="s">
        <v>25</v>
      </c>
      <c r="E102" s="5" t="s">
        <v>26</v>
      </c>
      <c r="F102" s="6">
        <v>1.0</v>
      </c>
      <c r="G102" s="7">
        <v>44850.0</v>
      </c>
      <c r="H102" s="8">
        <v>11.0</v>
      </c>
      <c r="I102" s="9" t="s">
        <v>176</v>
      </c>
      <c r="J102" s="4" t="s">
        <v>177</v>
      </c>
      <c r="K102" s="5"/>
      <c r="L102" s="4"/>
      <c r="M102" s="4"/>
      <c r="N102" s="4"/>
      <c r="O102" s="10">
        <v>0.7790162037037037</v>
      </c>
      <c r="P102" s="10">
        <v>0.7902430555555555</v>
      </c>
      <c r="Q102" s="10">
        <v>0.8034490740740741</v>
      </c>
      <c r="R102" s="11">
        <f t="shared" ref="R102:R110" si="12">Q102-O102</f>
        <v>0.02443287037</v>
      </c>
      <c r="S102" s="4"/>
      <c r="T102" s="9" t="s">
        <v>178</v>
      </c>
      <c r="U102" s="9" t="s">
        <v>179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4" t="s">
        <v>23</v>
      </c>
      <c r="B103" s="4" t="s">
        <v>180</v>
      </c>
      <c r="C103" s="4" t="str">
        <f t="shared" si="1"/>
        <v>2210RL_011_PF_CTD_02</v>
      </c>
      <c r="D103" s="4" t="s">
        <v>25</v>
      </c>
      <c r="E103" s="5" t="s">
        <v>26</v>
      </c>
      <c r="F103" s="6">
        <v>2.0</v>
      </c>
      <c r="G103" s="7">
        <v>44850.0</v>
      </c>
      <c r="H103" s="8">
        <v>11.0</v>
      </c>
      <c r="I103" s="9" t="s">
        <v>176</v>
      </c>
      <c r="J103" s="4" t="s">
        <v>177</v>
      </c>
      <c r="K103" s="5"/>
      <c r="L103" s="4"/>
      <c r="M103" s="4"/>
      <c r="N103" s="4"/>
      <c r="O103" s="10">
        <v>0.7790162037037037</v>
      </c>
      <c r="P103" s="10">
        <v>0.7902430555555555</v>
      </c>
      <c r="Q103" s="10">
        <v>0.8034490740740741</v>
      </c>
      <c r="R103" s="11">
        <f t="shared" si="12"/>
        <v>0.02443287037</v>
      </c>
      <c r="S103" s="4"/>
      <c r="T103" s="9" t="s">
        <v>178</v>
      </c>
      <c r="U103" s="9" t="s">
        <v>179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4" t="s">
        <v>23</v>
      </c>
      <c r="B104" s="4" t="s">
        <v>181</v>
      </c>
      <c r="C104" s="4" t="str">
        <f t="shared" si="1"/>
        <v>2210RL_011_PF_CTD_03</v>
      </c>
      <c r="D104" s="4" t="s">
        <v>25</v>
      </c>
      <c r="E104" s="5" t="s">
        <v>26</v>
      </c>
      <c r="F104" s="6">
        <v>3.0</v>
      </c>
      <c r="G104" s="7">
        <v>44850.0</v>
      </c>
      <c r="H104" s="8">
        <v>11.0</v>
      </c>
      <c r="I104" s="9" t="s">
        <v>176</v>
      </c>
      <c r="J104" s="4" t="s">
        <v>177</v>
      </c>
      <c r="K104" s="5"/>
      <c r="L104" s="4"/>
      <c r="M104" s="4"/>
      <c r="N104" s="4"/>
      <c r="O104" s="10">
        <v>0.7790162037037037</v>
      </c>
      <c r="P104" s="10">
        <v>0.7902430555555555</v>
      </c>
      <c r="Q104" s="10">
        <v>0.8034490740740741</v>
      </c>
      <c r="R104" s="11">
        <f t="shared" si="12"/>
        <v>0.02443287037</v>
      </c>
      <c r="S104" s="4"/>
      <c r="T104" s="9" t="s">
        <v>178</v>
      </c>
      <c r="U104" s="9" t="s">
        <v>179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4" t="s">
        <v>23</v>
      </c>
      <c r="B105" s="4" t="s">
        <v>182</v>
      </c>
      <c r="C105" s="4" t="str">
        <f t="shared" si="1"/>
        <v>2210RL_011_PF_Bon_01</v>
      </c>
      <c r="D105" s="4" t="s">
        <v>25</v>
      </c>
      <c r="E105" s="5" t="s">
        <v>39</v>
      </c>
      <c r="F105" s="6">
        <v>1.0</v>
      </c>
      <c r="G105" s="7">
        <v>44850.0</v>
      </c>
      <c r="H105" s="8">
        <v>11.0</v>
      </c>
      <c r="I105" s="9" t="s">
        <v>176</v>
      </c>
      <c r="J105" s="4" t="s">
        <v>177</v>
      </c>
      <c r="K105" s="5"/>
      <c r="L105" s="4"/>
      <c r="M105" s="4"/>
      <c r="N105" s="4"/>
      <c r="O105" s="10">
        <v>0.8220138888888889</v>
      </c>
      <c r="P105" s="4"/>
      <c r="Q105" s="10">
        <v>0.8370717592592593</v>
      </c>
      <c r="R105" s="11">
        <f t="shared" si="12"/>
        <v>0.01505787037</v>
      </c>
      <c r="S105" s="4"/>
      <c r="T105" s="9" t="s">
        <v>178</v>
      </c>
      <c r="U105" s="9" t="s">
        <v>179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4" t="s">
        <v>23</v>
      </c>
      <c r="B106" s="4" t="s">
        <v>183</v>
      </c>
      <c r="C106" s="4" t="str">
        <f t="shared" si="1"/>
        <v>2210RL_011_PF_Bon_02</v>
      </c>
      <c r="D106" s="4" t="s">
        <v>25</v>
      </c>
      <c r="E106" s="5" t="s">
        <v>39</v>
      </c>
      <c r="F106" s="6">
        <v>2.0</v>
      </c>
      <c r="G106" s="7">
        <v>44850.0</v>
      </c>
      <c r="H106" s="8">
        <v>11.0</v>
      </c>
      <c r="I106" s="9" t="s">
        <v>176</v>
      </c>
      <c r="J106" s="4" t="s">
        <v>177</v>
      </c>
      <c r="K106" s="5"/>
      <c r="L106" s="4"/>
      <c r="M106" s="4"/>
      <c r="N106" s="4"/>
      <c r="O106" s="10">
        <v>0.8220138888888889</v>
      </c>
      <c r="P106" s="4"/>
      <c r="Q106" s="10">
        <v>0.8370717592592593</v>
      </c>
      <c r="R106" s="11">
        <f t="shared" si="12"/>
        <v>0.01505787037</v>
      </c>
      <c r="S106" s="4"/>
      <c r="T106" s="9" t="s">
        <v>178</v>
      </c>
      <c r="U106" s="9" t="s">
        <v>179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4" t="s">
        <v>23</v>
      </c>
      <c r="B107" s="4" t="s">
        <v>184</v>
      </c>
      <c r="C107" s="4" t="str">
        <f t="shared" si="1"/>
        <v>2210RL_011_PF_Bon_03</v>
      </c>
      <c r="D107" s="4" t="s">
        <v>25</v>
      </c>
      <c r="E107" s="5" t="s">
        <v>39</v>
      </c>
      <c r="F107" s="6">
        <v>3.0</v>
      </c>
      <c r="G107" s="7">
        <v>44850.0</v>
      </c>
      <c r="H107" s="8">
        <v>11.0</v>
      </c>
      <c r="I107" s="9" t="s">
        <v>176</v>
      </c>
      <c r="J107" s="4" t="s">
        <v>177</v>
      </c>
      <c r="K107" s="5"/>
      <c r="L107" s="4"/>
      <c r="M107" s="4"/>
      <c r="N107" s="4"/>
      <c r="O107" s="10">
        <v>0.8220138888888889</v>
      </c>
      <c r="P107" s="4"/>
      <c r="Q107" s="10">
        <v>0.8370717592592593</v>
      </c>
      <c r="R107" s="11">
        <f t="shared" si="12"/>
        <v>0.01505787037</v>
      </c>
      <c r="S107" s="4"/>
      <c r="T107" s="9" t="s">
        <v>178</v>
      </c>
      <c r="U107" s="9" t="s">
        <v>179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4" t="s">
        <v>23</v>
      </c>
      <c r="B108" s="4" t="s">
        <v>185</v>
      </c>
      <c r="C108" s="4" t="str">
        <f t="shared" si="1"/>
        <v>2210RL_011_PF_Man_01</v>
      </c>
      <c r="D108" s="4" t="s">
        <v>25</v>
      </c>
      <c r="E108" s="5" t="s">
        <v>35</v>
      </c>
      <c r="F108" s="6">
        <v>1.0</v>
      </c>
      <c r="G108" s="7">
        <v>44850.0</v>
      </c>
      <c r="H108" s="8">
        <v>11.0</v>
      </c>
      <c r="I108" s="9" t="s">
        <v>176</v>
      </c>
      <c r="J108" s="4" t="s">
        <v>177</v>
      </c>
      <c r="K108" s="5"/>
      <c r="L108" s="4"/>
      <c r="M108" s="4"/>
      <c r="N108" s="4"/>
      <c r="O108" s="10">
        <v>0.8078356481481481</v>
      </c>
      <c r="P108" s="4"/>
      <c r="Q108" s="10">
        <v>0.8186805555555555</v>
      </c>
      <c r="R108" s="11">
        <f t="shared" si="12"/>
        <v>0.01084490741</v>
      </c>
      <c r="S108" s="4"/>
      <c r="T108" s="9" t="s">
        <v>178</v>
      </c>
      <c r="U108" s="9" t="s">
        <v>179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4" t="s">
        <v>23</v>
      </c>
      <c r="B109" s="4" t="s">
        <v>186</v>
      </c>
      <c r="C109" s="4" t="str">
        <f t="shared" si="1"/>
        <v>2210RL_011_PF_Man_02</v>
      </c>
      <c r="D109" s="4" t="s">
        <v>25</v>
      </c>
      <c r="E109" s="5" t="s">
        <v>35</v>
      </c>
      <c r="F109" s="6">
        <v>2.0</v>
      </c>
      <c r="G109" s="7">
        <v>44850.0</v>
      </c>
      <c r="H109" s="8">
        <v>11.0</v>
      </c>
      <c r="I109" s="9" t="s">
        <v>176</v>
      </c>
      <c r="J109" s="4" t="s">
        <v>177</v>
      </c>
      <c r="K109" s="5"/>
      <c r="L109" s="4"/>
      <c r="M109" s="4"/>
      <c r="N109" s="4"/>
      <c r="O109" s="10">
        <v>0.8078356481481481</v>
      </c>
      <c r="P109" s="4"/>
      <c r="Q109" s="10">
        <v>0.8186805555555555</v>
      </c>
      <c r="R109" s="11">
        <f t="shared" si="12"/>
        <v>0.01084490741</v>
      </c>
      <c r="S109" s="4"/>
      <c r="T109" s="9" t="s">
        <v>178</v>
      </c>
      <c r="U109" s="9" t="s">
        <v>179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4" t="s">
        <v>23</v>
      </c>
      <c r="B110" s="4" t="s">
        <v>187</v>
      </c>
      <c r="C110" s="4" t="str">
        <f t="shared" si="1"/>
        <v>2210RL_011_PF_Man_03</v>
      </c>
      <c r="D110" s="4" t="s">
        <v>25</v>
      </c>
      <c r="E110" s="5" t="s">
        <v>35</v>
      </c>
      <c r="F110" s="6">
        <v>3.0</v>
      </c>
      <c r="G110" s="7">
        <v>44850.0</v>
      </c>
      <c r="H110" s="8">
        <v>12.0</v>
      </c>
      <c r="I110" s="9" t="s">
        <v>188</v>
      </c>
      <c r="J110" s="4" t="s">
        <v>189</v>
      </c>
      <c r="K110" s="5"/>
      <c r="L110" s="4"/>
      <c r="M110" s="4"/>
      <c r="N110" s="4"/>
      <c r="O110" s="10">
        <v>0.8078356481481481</v>
      </c>
      <c r="P110" s="4"/>
      <c r="Q110" s="10">
        <v>0.8186805555555555</v>
      </c>
      <c r="R110" s="11">
        <f t="shared" si="12"/>
        <v>0.01084490741</v>
      </c>
      <c r="S110" s="4"/>
      <c r="T110" s="9" t="s">
        <v>190</v>
      </c>
      <c r="U110" s="9" t="s">
        <v>191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4" t="s">
        <v>23</v>
      </c>
      <c r="B111" s="4" t="s">
        <v>192</v>
      </c>
      <c r="C111" s="4" t="str">
        <f t="shared" si="1"/>
        <v>2210RL_011_PF_Blank</v>
      </c>
      <c r="D111" s="4" t="s">
        <v>25</v>
      </c>
      <c r="E111" s="5"/>
      <c r="F111" s="5" t="s">
        <v>43</v>
      </c>
      <c r="G111" s="7">
        <v>44850.0</v>
      </c>
      <c r="H111" s="8">
        <v>12.0</v>
      </c>
      <c r="I111" s="9" t="s">
        <v>188</v>
      </c>
      <c r="J111" s="4" t="s">
        <v>189</v>
      </c>
      <c r="K111" s="5"/>
      <c r="L111" s="4"/>
      <c r="M111" s="4"/>
      <c r="N111" s="4"/>
      <c r="O111" s="4"/>
      <c r="P111" s="4"/>
      <c r="Q111" s="4"/>
      <c r="R111" s="4"/>
      <c r="S111" s="4"/>
      <c r="T111" s="9" t="s">
        <v>190</v>
      </c>
      <c r="U111" s="9" t="s">
        <v>191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4" t="s">
        <v>23</v>
      </c>
      <c r="B112" s="4" t="s">
        <v>193</v>
      </c>
      <c r="C112" s="4" t="str">
        <f t="shared" si="1"/>
        <v>2210RL_012_PF_CTD_01</v>
      </c>
      <c r="D112" s="4" t="s">
        <v>25</v>
      </c>
      <c r="E112" s="5" t="s">
        <v>26</v>
      </c>
      <c r="F112" s="6">
        <v>1.0</v>
      </c>
      <c r="G112" s="7">
        <v>44850.0</v>
      </c>
      <c r="H112" s="8">
        <v>12.0</v>
      </c>
      <c r="I112" s="9" t="s">
        <v>188</v>
      </c>
      <c r="J112" s="4" t="s">
        <v>189</v>
      </c>
      <c r="K112" s="5"/>
      <c r="L112" s="4"/>
      <c r="M112" s="4"/>
      <c r="N112" s="4"/>
      <c r="O112" s="10">
        <v>0.8927777777777778</v>
      </c>
      <c r="P112" s="10">
        <v>0.8966435185185185</v>
      </c>
      <c r="Q112" s="10">
        <v>0.8999537037037038</v>
      </c>
      <c r="R112" s="11">
        <f t="shared" ref="R112:R120" si="13">Q112-O112</f>
        <v>0.007175925926</v>
      </c>
      <c r="S112" s="4"/>
      <c r="T112" s="9" t="s">
        <v>190</v>
      </c>
      <c r="U112" s="9" t="s">
        <v>191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4" t="s">
        <v>23</v>
      </c>
      <c r="B113" s="4" t="s">
        <v>194</v>
      </c>
      <c r="C113" s="4" t="str">
        <f t="shared" si="1"/>
        <v>2210RL_012_PF_CTD_02</v>
      </c>
      <c r="D113" s="4" t="s">
        <v>25</v>
      </c>
      <c r="E113" s="5" t="s">
        <v>26</v>
      </c>
      <c r="F113" s="6">
        <v>2.0</v>
      </c>
      <c r="G113" s="7">
        <v>44850.0</v>
      </c>
      <c r="H113" s="8">
        <v>12.0</v>
      </c>
      <c r="I113" s="9" t="s">
        <v>188</v>
      </c>
      <c r="J113" s="4" t="s">
        <v>189</v>
      </c>
      <c r="K113" s="5"/>
      <c r="L113" s="4"/>
      <c r="M113" s="4"/>
      <c r="N113" s="4"/>
      <c r="O113" s="10">
        <v>0.8927777777777778</v>
      </c>
      <c r="P113" s="10">
        <v>0.8966435185185185</v>
      </c>
      <c r="Q113" s="10">
        <v>0.8999537037037038</v>
      </c>
      <c r="R113" s="11">
        <f t="shared" si="13"/>
        <v>0.007175925926</v>
      </c>
      <c r="S113" s="4"/>
      <c r="T113" s="9" t="s">
        <v>190</v>
      </c>
      <c r="U113" s="9" t="s">
        <v>191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4" t="s">
        <v>23</v>
      </c>
      <c r="B114" s="4" t="s">
        <v>195</v>
      </c>
      <c r="C114" s="4" t="str">
        <f t="shared" si="1"/>
        <v>2210RL_012_PF_CTD_03</v>
      </c>
      <c r="D114" s="4" t="s">
        <v>25</v>
      </c>
      <c r="E114" s="5" t="s">
        <v>26</v>
      </c>
      <c r="F114" s="6">
        <v>3.0</v>
      </c>
      <c r="G114" s="7">
        <v>44850.0</v>
      </c>
      <c r="H114" s="8">
        <v>12.0</v>
      </c>
      <c r="I114" s="9" t="s">
        <v>188</v>
      </c>
      <c r="J114" s="4" t="s">
        <v>189</v>
      </c>
      <c r="K114" s="5"/>
      <c r="L114" s="4"/>
      <c r="M114" s="4"/>
      <c r="N114" s="4"/>
      <c r="O114" s="10">
        <v>0.8927777777777778</v>
      </c>
      <c r="P114" s="10">
        <v>0.8966435185185185</v>
      </c>
      <c r="Q114" s="10">
        <v>0.8999537037037038</v>
      </c>
      <c r="R114" s="11">
        <f t="shared" si="13"/>
        <v>0.007175925926</v>
      </c>
      <c r="S114" s="4"/>
      <c r="T114" s="9" t="s">
        <v>190</v>
      </c>
      <c r="U114" s="9" t="s">
        <v>191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4" t="s">
        <v>23</v>
      </c>
      <c r="B115" s="4" t="s">
        <v>196</v>
      </c>
      <c r="C115" s="4" t="str">
        <f t="shared" si="1"/>
        <v>2210RL_012_PF_Man_01</v>
      </c>
      <c r="D115" s="4" t="s">
        <v>25</v>
      </c>
      <c r="E115" s="5" t="s">
        <v>35</v>
      </c>
      <c r="F115" s="6">
        <v>1.0</v>
      </c>
      <c r="G115" s="7">
        <v>44850.0</v>
      </c>
      <c r="H115" s="8">
        <v>12.0</v>
      </c>
      <c r="I115" s="9" t="s">
        <v>188</v>
      </c>
      <c r="J115" s="4" t="s">
        <v>189</v>
      </c>
      <c r="K115" s="5"/>
      <c r="L115" s="4"/>
      <c r="M115" s="4"/>
      <c r="N115" s="4"/>
      <c r="O115" s="10">
        <v>0.9051388888888889</v>
      </c>
      <c r="P115" s="4"/>
      <c r="Q115" s="10">
        <v>0.9162962962962963</v>
      </c>
      <c r="R115" s="11">
        <f t="shared" si="13"/>
        <v>0.01115740741</v>
      </c>
      <c r="S115" s="4"/>
      <c r="T115" s="9" t="s">
        <v>190</v>
      </c>
      <c r="U115" s="9" t="s">
        <v>191</v>
      </c>
      <c r="V115" s="4"/>
      <c r="W115" s="12" t="s">
        <v>197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4" t="s">
        <v>23</v>
      </c>
      <c r="B116" s="4" t="s">
        <v>198</v>
      </c>
      <c r="C116" s="4" t="str">
        <f t="shared" si="1"/>
        <v>2210RL_012_PF_Man_02</v>
      </c>
      <c r="D116" s="4" t="s">
        <v>25</v>
      </c>
      <c r="E116" s="5" t="s">
        <v>35</v>
      </c>
      <c r="F116" s="6">
        <v>2.0</v>
      </c>
      <c r="G116" s="7">
        <v>44850.0</v>
      </c>
      <c r="H116" s="8">
        <v>12.0</v>
      </c>
      <c r="I116" s="9" t="s">
        <v>188</v>
      </c>
      <c r="J116" s="4" t="s">
        <v>189</v>
      </c>
      <c r="K116" s="5"/>
      <c r="L116" s="4"/>
      <c r="M116" s="4"/>
      <c r="N116" s="4"/>
      <c r="O116" s="10">
        <v>0.9051388888888889</v>
      </c>
      <c r="P116" s="4"/>
      <c r="Q116" s="10">
        <v>0.9162962962962963</v>
      </c>
      <c r="R116" s="11">
        <f t="shared" si="13"/>
        <v>0.01115740741</v>
      </c>
      <c r="S116" s="4"/>
      <c r="T116" s="9" t="s">
        <v>190</v>
      </c>
      <c r="U116" s="9" t="s">
        <v>191</v>
      </c>
      <c r="V116" s="4"/>
      <c r="W116" s="12" t="s">
        <v>197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4" t="s">
        <v>23</v>
      </c>
      <c r="B117" s="4" t="s">
        <v>199</v>
      </c>
      <c r="C117" s="4" t="str">
        <f t="shared" si="1"/>
        <v>2210RL_012_PF_Man_03</v>
      </c>
      <c r="D117" s="4" t="s">
        <v>25</v>
      </c>
      <c r="E117" s="5" t="s">
        <v>35</v>
      </c>
      <c r="F117" s="6">
        <v>3.0</v>
      </c>
      <c r="G117" s="7">
        <v>44850.0</v>
      </c>
      <c r="H117" s="8">
        <v>12.0</v>
      </c>
      <c r="I117" s="9" t="s">
        <v>188</v>
      </c>
      <c r="J117" s="4" t="s">
        <v>189</v>
      </c>
      <c r="K117" s="5"/>
      <c r="L117" s="4"/>
      <c r="M117" s="4"/>
      <c r="N117" s="4"/>
      <c r="O117" s="10">
        <v>0.9051388888888889</v>
      </c>
      <c r="P117" s="4"/>
      <c r="Q117" s="10">
        <v>0.9162962962962963</v>
      </c>
      <c r="R117" s="11">
        <f t="shared" si="13"/>
        <v>0.01115740741</v>
      </c>
      <c r="S117" s="4"/>
      <c r="T117" s="9" t="s">
        <v>190</v>
      </c>
      <c r="U117" s="9" t="s">
        <v>191</v>
      </c>
      <c r="V117" s="4"/>
      <c r="W117" s="12" t="s">
        <v>197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4" t="s">
        <v>23</v>
      </c>
      <c r="B118" s="4" t="s">
        <v>200</v>
      </c>
      <c r="C118" s="4" t="str">
        <f t="shared" si="1"/>
        <v>2210RL_012_PF_Bon_01</v>
      </c>
      <c r="D118" s="4" t="s">
        <v>25</v>
      </c>
      <c r="E118" s="5" t="s">
        <v>39</v>
      </c>
      <c r="F118" s="6">
        <v>1.0</v>
      </c>
      <c r="G118" s="7">
        <v>44850.0</v>
      </c>
      <c r="H118" s="8">
        <v>12.0</v>
      </c>
      <c r="I118" s="9" t="s">
        <v>188</v>
      </c>
      <c r="J118" s="4" t="s">
        <v>189</v>
      </c>
      <c r="K118" s="5"/>
      <c r="L118" s="4"/>
      <c r="M118" s="4"/>
      <c r="N118" s="4"/>
      <c r="O118" s="10">
        <v>0.9200347222222223</v>
      </c>
      <c r="P118" s="4"/>
      <c r="Q118" s="10">
        <v>0.9263425925925926</v>
      </c>
      <c r="R118" s="11">
        <f t="shared" si="13"/>
        <v>0.00630787037</v>
      </c>
      <c r="S118" s="4"/>
      <c r="T118" s="9" t="s">
        <v>190</v>
      </c>
      <c r="U118" s="9" t="s">
        <v>191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4" t="s">
        <v>23</v>
      </c>
      <c r="B119" s="4" t="s">
        <v>201</v>
      </c>
      <c r="C119" s="4" t="str">
        <f t="shared" si="1"/>
        <v>2210RL_012_PF_Bon_02</v>
      </c>
      <c r="D119" s="4" t="s">
        <v>25</v>
      </c>
      <c r="E119" s="5" t="s">
        <v>39</v>
      </c>
      <c r="F119" s="6">
        <v>2.0</v>
      </c>
      <c r="G119" s="7">
        <v>44850.0</v>
      </c>
      <c r="H119" s="8">
        <v>12.0</v>
      </c>
      <c r="I119" s="9" t="s">
        <v>188</v>
      </c>
      <c r="J119" s="4" t="s">
        <v>189</v>
      </c>
      <c r="K119" s="5"/>
      <c r="L119" s="4"/>
      <c r="M119" s="4"/>
      <c r="N119" s="4"/>
      <c r="O119" s="10">
        <v>0.9200347222222223</v>
      </c>
      <c r="P119" s="4"/>
      <c r="Q119" s="10">
        <v>0.9263425925925926</v>
      </c>
      <c r="R119" s="11">
        <f t="shared" si="13"/>
        <v>0.00630787037</v>
      </c>
      <c r="S119" s="4"/>
      <c r="T119" s="9" t="s">
        <v>190</v>
      </c>
      <c r="U119" s="9" t="s">
        <v>191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4" t="s">
        <v>23</v>
      </c>
      <c r="B120" s="4" t="s">
        <v>202</v>
      </c>
      <c r="C120" s="4" t="str">
        <f t="shared" si="1"/>
        <v>2210RL_012_PF_Bon_03</v>
      </c>
      <c r="D120" s="4" t="s">
        <v>25</v>
      </c>
      <c r="E120" s="5" t="s">
        <v>39</v>
      </c>
      <c r="F120" s="6">
        <v>3.0</v>
      </c>
      <c r="G120" s="7">
        <v>44850.0</v>
      </c>
      <c r="H120" s="8">
        <v>12.0</v>
      </c>
      <c r="I120" s="9" t="s">
        <v>188</v>
      </c>
      <c r="J120" s="4" t="s">
        <v>189</v>
      </c>
      <c r="K120" s="5"/>
      <c r="L120" s="4"/>
      <c r="M120" s="4"/>
      <c r="N120" s="4"/>
      <c r="O120" s="10">
        <v>0.9200347222222223</v>
      </c>
      <c r="P120" s="4"/>
      <c r="Q120" s="10">
        <v>0.9263425925925926</v>
      </c>
      <c r="R120" s="11">
        <f t="shared" si="13"/>
        <v>0.00630787037</v>
      </c>
      <c r="S120" s="4"/>
      <c r="T120" s="9" t="s">
        <v>190</v>
      </c>
      <c r="U120" s="9" t="s">
        <v>191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4" t="s">
        <v>23</v>
      </c>
      <c r="B121" s="4" t="s">
        <v>203</v>
      </c>
      <c r="C121" s="4" t="str">
        <f t="shared" si="1"/>
        <v>2210RL_012_PF_Blank</v>
      </c>
      <c r="D121" s="4" t="s">
        <v>25</v>
      </c>
      <c r="E121" s="4"/>
      <c r="F121" s="5" t="s">
        <v>43</v>
      </c>
      <c r="G121" s="13"/>
      <c r="H121" s="4"/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4" t="s">
        <v>23</v>
      </c>
      <c r="B122" s="4" t="s">
        <v>204</v>
      </c>
      <c r="C122" s="4" t="str">
        <f t="shared" si="1"/>
        <v>2210RL_013_PF_CTD_01</v>
      </c>
      <c r="D122" s="4" t="s">
        <v>25</v>
      </c>
      <c r="E122" s="5" t="s">
        <v>26</v>
      </c>
      <c r="F122" s="6">
        <v>1.0</v>
      </c>
      <c r="G122" s="7">
        <v>44851.0</v>
      </c>
      <c r="H122" s="8">
        <v>13.0</v>
      </c>
      <c r="I122" s="9" t="s">
        <v>205</v>
      </c>
      <c r="J122" s="4" t="s">
        <v>206</v>
      </c>
      <c r="K122" s="5"/>
      <c r="L122" s="4"/>
      <c r="M122" s="4"/>
      <c r="N122" s="4"/>
      <c r="O122" s="10">
        <v>0.5153125</v>
      </c>
      <c r="P122" s="10">
        <v>0.5259490740740741</v>
      </c>
      <c r="Q122" s="10">
        <v>0.5393287037037037</v>
      </c>
      <c r="R122" s="11">
        <f t="shared" ref="R122:R130" si="14">Q122-O122</f>
        <v>0.0240162037</v>
      </c>
      <c r="S122" s="4"/>
      <c r="T122" s="9" t="s">
        <v>207</v>
      </c>
      <c r="U122" s="9" t="s">
        <v>208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4" t="s">
        <v>23</v>
      </c>
      <c r="B123" s="4" t="s">
        <v>209</v>
      </c>
      <c r="C123" s="4" t="str">
        <f t="shared" si="1"/>
        <v>2210RL_013_PF_CTD_02</v>
      </c>
      <c r="D123" s="4" t="s">
        <v>25</v>
      </c>
      <c r="E123" s="5" t="s">
        <v>26</v>
      </c>
      <c r="F123" s="6">
        <v>2.0</v>
      </c>
      <c r="G123" s="7">
        <v>44851.0</v>
      </c>
      <c r="H123" s="8">
        <v>13.0</v>
      </c>
      <c r="I123" s="9" t="s">
        <v>205</v>
      </c>
      <c r="J123" s="4" t="s">
        <v>206</v>
      </c>
      <c r="K123" s="5"/>
      <c r="L123" s="4"/>
      <c r="M123" s="4"/>
      <c r="N123" s="4"/>
      <c r="O123" s="10">
        <v>0.5153125</v>
      </c>
      <c r="P123" s="10">
        <v>0.5259490740740741</v>
      </c>
      <c r="Q123" s="10">
        <v>0.5393287037037037</v>
      </c>
      <c r="R123" s="11">
        <f t="shared" si="14"/>
        <v>0.0240162037</v>
      </c>
      <c r="S123" s="4"/>
      <c r="T123" s="9" t="s">
        <v>207</v>
      </c>
      <c r="U123" s="9" t="s">
        <v>208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4" t="s">
        <v>23</v>
      </c>
      <c r="B124" s="4" t="s">
        <v>210</v>
      </c>
      <c r="C124" s="4" t="str">
        <f t="shared" si="1"/>
        <v>2210RL_013_PF_CTD_03</v>
      </c>
      <c r="D124" s="4" t="s">
        <v>25</v>
      </c>
      <c r="E124" s="5" t="s">
        <v>26</v>
      </c>
      <c r="F124" s="6">
        <v>3.0</v>
      </c>
      <c r="G124" s="7">
        <v>44851.0</v>
      </c>
      <c r="H124" s="8">
        <v>13.0</v>
      </c>
      <c r="I124" s="9" t="s">
        <v>205</v>
      </c>
      <c r="J124" s="4" t="s">
        <v>206</v>
      </c>
      <c r="K124" s="5"/>
      <c r="L124" s="4"/>
      <c r="M124" s="4"/>
      <c r="N124" s="4"/>
      <c r="O124" s="10">
        <v>0.5153125</v>
      </c>
      <c r="P124" s="10">
        <v>0.5259490740740741</v>
      </c>
      <c r="Q124" s="10">
        <v>0.5393287037037037</v>
      </c>
      <c r="R124" s="11">
        <f t="shared" si="14"/>
        <v>0.0240162037</v>
      </c>
      <c r="S124" s="4"/>
      <c r="T124" s="9" t="s">
        <v>207</v>
      </c>
      <c r="U124" s="9" t="s">
        <v>208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4" t="s">
        <v>23</v>
      </c>
      <c r="B125" s="4" t="s">
        <v>211</v>
      </c>
      <c r="C125" s="4" t="str">
        <f t="shared" si="1"/>
        <v>2210RL_013_PF_Man_01</v>
      </c>
      <c r="D125" s="4" t="s">
        <v>25</v>
      </c>
      <c r="E125" s="5" t="s">
        <v>35</v>
      </c>
      <c r="F125" s="6">
        <v>1.0</v>
      </c>
      <c r="G125" s="7">
        <v>44851.0</v>
      </c>
      <c r="H125" s="8">
        <v>13.0</v>
      </c>
      <c r="I125" s="9" t="s">
        <v>205</v>
      </c>
      <c r="J125" s="4" t="s">
        <v>206</v>
      </c>
      <c r="K125" s="5"/>
      <c r="L125" s="4"/>
      <c r="M125" s="4"/>
      <c r="N125" s="4"/>
      <c r="O125" s="10">
        <v>0.5439236111111111</v>
      </c>
      <c r="P125" s="4"/>
      <c r="Q125" s="10">
        <v>0.5546412037037037</v>
      </c>
      <c r="R125" s="11">
        <f t="shared" si="14"/>
        <v>0.01071759259</v>
      </c>
      <c r="S125" s="4"/>
      <c r="T125" s="9" t="s">
        <v>207</v>
      </c>
      <c r="U125" s="9" t="s">
        <v>208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4" t="s">
        <v>23</v>
      </c>
      <c r="B126" s="4" t="s">
        <v>212</v>
      </c>
      <c r="C126" s="4" t="str">
        <f t="shared" si="1"/>
        <v>2210RL_013_PF_Man_02</v>
      </c>
      <c r="D126" s="4" t="s">
        <v>25</v>
      </c>
      <c r="E126" s="5" t="s">
        <v>35</v>
      </c>
      <c r="F126" s="6">
        <v>2.0</v>
      </c>
      <c r="G126" s="7">
        <v>44851.0</v>
      </c>
      <c r="H126" s="8">
        <v>13.0</v>
      </c>
      <c r="I126" s="9" t="s">
        <v>205</v>
      </c>
      <c r="J126" s="4" t="s">
        <v>206</v>
      </c>
      <c r="K126" s="5"/>
      <c r="L126" s="4"/>
      <c r="M126" s="4"/>
      <c r="N126" s="4"/>
      <c r="O126" s="10">
        <v>0.5439236111111111</v>
      </c>
      <c r="P126" s="4"/>
      <c r="Q126" s="10">
        <v>0.5546412037037037</v>
      </c>
      <c r="R126" s="11">
        <f t="shared" si="14"/>
        <v>0.01071759259</v>
      </c>
      <c r="S126" s="4"/>
      <c r="T126" s="9" t="s">
        <v>207</v>
      </c>
      <c r="U126" s="9" t="s">
        <v>208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4" t="s">
        <v>23</v>
      </c>
      <c r="B127" s="4" t="s">
        <v>213</v>
      </c>
      <c r="C127" s="4" t="str">
        <f t="shared" si="1"/>
        <v>2210RL_013_PF_Man_03</v>
      </c>
      <c r="D127" s="4" t="s">
        <v>25</v>
      </c>
      <c r="E127" s="5" t="s">
        <v>35</v>
      </c>
      <c r="F127" s="6">
        <v>3.0</v>
      </c>
      <c r="G127" s="7">
        <v>44851.0</v>
      </c>
      <c r="H127" s="8">
        <v>13.0</v>
      </c>
      <c r="I127" s="9" t="s">
        <v>205</v>
      </c>
      <c r="J127" s="4" t="s">
        <v>206</v>
      </c>
      <c r="K127" s="5"/>
      <c r="L127" s="4"/>
      <c r="M127" s="4"/>
      <c r="N127" s="4"/>
      <c r="O127" s="10">
        <v>0.5439236111111111</v>
      </c>
      <c r="P127" s="4"/>
      <c r="Q127" s="10">
        <v>0.5546412037037037</v>
      </c>
      <c r="R127" s="11">
        <f t="shared" si="14"/>
        <v>0.01071759259</v>
      </c>
      <c r="S127" s="4"/>
      <c r="T127" s="9" t="s">
        <v>207</v>
      </c>
      <c r="U127" s="9" t="s">
        <v>208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4" t="s">
        <v>23</v>
      </c>
      <c r="B128" s="4" t="s">
        <v>214</v>
      </c>
      <c r="C128" s="4" t="str">
        <f t="shared" si="1"/>
        <v>2210RL_013_PF_Bon_01</v>
      </c>
      <c r="D128" s="4" t="s">
        <v>25</v>
      </c>
      <c r="E128" s="5" t="s">
        <v>39</v>
      </c>
      <c r="F128" s="6">
        <v>1.0</v>
      </c>
      <c r="G128" s="7">
        <v>44851.0</v>
      </c>
      <c r="H128" s="8">
        <v>13.0</v>
      </c>
      <c r="I128" s="9" t="s">
        <v>205</v>
      </c>
      <c r="J128" s="4" t="s">
        <v>206</v>
      </c>
      <c r="K128" s="5"/>
      <c r="L128" s="4"/>
      <c r="M128" s="4"/>
      <c r="N128" s="4"/>
      <c r="O128" s="10">
        <v>0.5573842592592593</v>
      </c>
      <c r="P128" s="4"/>
      <c r="Q128" s="10">
        <v>0.5721875</v>
      </c>
      <c r="R128" s="11">
        <f t="shared" si="14"/>
        <v>0.01480324074</v>
      </c>
      <c r="S128" s="4"/>
      <c r="T128" s="9" t="s">
        <v>207</v>
      </c>
      <c r="U128" s="9" t="s">
        <v>208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4" t="s">
        <v>23</v>
      </c>
      <c r="B129" s="4" t="s">
        <v>215</v>
      </c>
      <c r="C129" s="4" t="str">
        <f t="shared" si="1"/>
        <v>2210RL_013_PF_Bon_02</v>
      </c>
      <c r="D129" s="4" t="s">
        <v>25</v>
      </c>
      <c r="E129" s="5" t="s">
        <v>39</v>
      </c>
      <c r="F129" s="6">
        <v>2.0</v>
      </c>
      <c r="G129" s="7">
        <v>44851.0</v>
      </c>
      <c r="H129" s="8">
        <v>13.0</v>
      </c>
      <c r="I129" s="9" t="s">
        <v>205</v>
      </c>
      <c r="J129" s="4" t="s">
        <v>206</v>
      </c>
      <c r="K129" s="5"/>
      <c r="L129" s="4"/>
      <c r="M129" s="4"/>
      <c r="N129" s="4"/>
      <c r="O129" s="10">
        <v>0.5573842592592593</v>
      </c>
      <c r="P129" s="4"/>
      <c r="Q129" s="10">
        <v>0.5721875</v>
      </c>
      <c r="R129" s="11">
        <f t="shared" si="14"/>
        <v>0.01480324074</v>
      </c>
      <c r="S129" s="4"/>
      <c r="T129" s="9" t="s">
        <v>207</v>
      </c>
      <c r="U129" s="9" t="s">
        <v>208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4" t="s">
        <v>23</v>
      </c>
      <c r="B130" s="4" t="s">
        <v>216</v>
      </c>
      <c r="C130" s="4" t="str">
        <f t="shared" si="1"/>
        <v>2210RL_013_PF_Bon_03</v>
      </c>
      <c r="D130" s="4" t="s">
        <v>25</v>
      </c>
      <c r="E130" s="5" t="s">
        <v>39</v>
      </c>
      <c r="F130" s="6">
        <v>3.0</v>
      </c>
      <c r="G130" s="7">
        <v>44851.0</v>
      </c>
      <c r="H130" s="8">
        <v>13.0</v>
      </c>
      <c r="I130" s="9" t="s">
        <v>205</v>
      </c>
      <c r="J130" s="4" t="s">
        <v>206</v>
      </c>
      <c r="K130" s="5"/>
      <c r="L130" s="4"/>
      <c r="M130" s="4"/>
      <c r="N130" s="4"/>
      <c r="O130" s="10">
        <v>0.5573842592592593</v>
      </c>
      <c r="P130" s="4"/>
      <c r="Q130" s="10">
        <v>0.5721875</v>
      </c>
      <c r="R130" s="11">
        <f t="shared" si="14"/>
        <v>0.01480324074</v>
      </c>
      <c r="S130" s="4"/>
      <c r="T130" s="9" t="s">
        <v>207</v>
      </c>
      <c r="U130" s="9" t="s">
        <v>208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4" t="s">
        <v>23</v>
      </c>
      <c r="B131" s="4" t="s">
        <v>217</v>
      </c>
      <c r="C131" s="4" t="str">
        <f t="shared" si="1"/>
        <v>2210RL_013_PF_Blank</v>
      </c>
      <c r="D131" s="4" t="s">
        <v>25</v>
      </c>
      <c r="E131" s="5"/>
      <c r="F131" s="5" t="s">
        <v>43</v>
      </c>
      <c r="G131" s="7">
        <v>44851.0</v>
      </c>
      <c r="H131" s="8">
        <v>13.0</v>
      </c>
      <c r="I131" s="9" t="s">
        <v>205</v>
      </c>
      <c r="J131" s="4" t="s">
        <v>206</v>
      </c>
      <c r="K131" s="5"/>
      <c r="L131" s="4"/>
      <c r="M131" s="4"/>
      <c r="N131" s="4"/>
      <c r="O131" s="4"/>
      <c r="P131" s="4"/>
      <c r="Q131" s="4"/>
      <c r="R131" s="4"/>
      <c r="S131" s="4"/>
      <c r="T131" s="9" t="s">
        <v>207</v>
      </c>
      <c r="U131" s="9" t="s">
        <v>208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4" t="s">
        <v>23</v>
      </c>
      <c r="B132" s="4" t="s">
        <v>218</v>
      </c>
      <c r="C132" s="4" t="str">
        <f t="shared" si="1"/>
        <v>2210RL_014_PF_CTD_01</v>
      </c>
      <c r="D132" s="4" t="s">
        <v>25</v>
      </c>
      <c r="E132" s="5" t="s">
        <v>26</v>
      </c>
      <c r="F132" s="6">
        <v>1.0</v>
      </c>
      <c r="G132" s="7">
        <v>44851.0</v>
      </c>
      <c r="H132" s="8">
        <v>14.0</v>
      </c>
      <c r="I132" s="9" t="s">
        <v>219</v>
      </c>
      <c r="J132" s="4" t="s">
        <v>220</v>
      </c>
      <c r="K132" s="5"/>
      <c r="L132" s="4"/>
      <c r="M132" s="4"/>
      <c r="N132" s="4"/>
      <c r="O132" s="10">
        <v>0.6500231481481481</v>
      </c>
      <c r="P132" s="10">
        <v>0.6606944444444445</v>
      </c>
      <c r="Q132" s="10">
        <v>0.6721412037037037</v>
      </c>
      <c r="R132" s="11">
        <f t="shared" ref="R132:R140" si="15">Q132-O132</f>
        <v>0.02211805556</v>
      </c>
      <c r="S132" s="4"/>
      <c r="T132" s="9" t="s">
        <v>221</v>
      </c>
      <c r="U132" s="9" t="s">
        <v>222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4" t="s">
        <v>23</v>
      </c>
      <c r="B133" s="4" t="s">
        <v>223</v>
      </c>
      <c r="C133" s="4" t="str">
        <f t="shared" si="1"/>
        <v>2210RL_014_PF_CTD_02</v>
      </c>
      <c r="D133" s="4" t="s">
        <v>25</v>
      </c>
      <c r="E133" s="5" t="s">
        <v>26</v>
      </c>
      <c r="F133" s="6">
        <v>2.0</v>
      </c>
      <c r="G133" s="7">
        <v>44851.0</v>
      </c>
      <c r="H133" s="8">
        <v>14.0</v>
      </c>
      <c r="I133" s="9" t="s">
        <v>219</v>
      </c>
      <c r="J133" s="4" t="s">
        <v>220</v>
      </c>
      <c r="K133" s="5"/>
      <c r="L133" s="4"/>
      <c r="M133" s="4"/>
      <c r="N133" s="4"/>
      <c r="O133" s="10">
        <v>0.6500231481481481</v>
      </c>
      <c r="P133" s="10">
        <v>0.6606944444444445</v>
      </c>
      <c r="Q133" s="10">
        <v>0.6721412037037037</v>
      </c>
      <c r="R133" s="11">
        <f t="shared" si="15"/>
        <v>0.02211805556</v>
      </c>
      <c r="S133" s="4"/>
      <c r="T133" s="9" t="s">
        <v>221</v>
      </c>
      <c r="U133" s="9" t="s">
        <v>222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4" t="s">
        <v>23</v>
      </c>
      <c r="B134" s="4" t="s">
        <v>224</v>
      </c>
      <c r="C134" s="4" t="str">
        <f t="shared" si="1"/>
        <v>2210RL_014_PF_CTD_03</v>
      </c>
      <c r="D134" s="4" t="s">
        <v>25</v>
      </c>
      <c r="E134" s="5" t="s">
        <v>26</v>
      </c>
      <c r="F134" s="6">
        <v>3.0</v>
      </c>
      <c r="G134" s="7">
        <v>44851.0</v>
      </c>
      <c r="H134" s="8">
        <v>14.0</v>
      </c>
      <c r="I134" s="9" t="s">
        <v>219</v>
      </c>
      <c r="J134" s="4" t="s">
        <v>220</v>
      </c>
      <c r="K134" s="5"/>
      <c r="L134" s="4"/>
      <c r="M134" s="4"/>
      <c r="N134" s="4"/>
      <c r="O134" s="10">
        <v>0.6500231481481481</v>
      </c>
      <c r="P134" s="10">
        <v>0.6606944444444445</v>
      </c>
      <c r="Q134" s="10">
        <v>0.6721412037037037</v>
      </c>
      <c r="R134" s="11">
        <f t="shared" si="15"/>
        <v>0.02211805556</v>
      </c>
      <c r="S134" s="4"/>
      <c r="T134" s="9" t="s">
        <v>221</v>
      </c>
      <c r="U134" s="9" t="s">
        <v>222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4" t="s">
        <v>23</v>
      </c>
      <c r="B135" s="4" t="s">
        <v>225</v>
      </c>
      <c r="C135" s="4" t="str">
        <f t="shared" si="1"/>
        <v>2210RL_014_PF_Bon_01</v>
      </c>
      <c r="D135" s="4" t="s">
        <v>25</v>
      </c>
      <c r="E135" s="5" t="s">
        <v>39</v>
      </c>
      <c r="F135" s="6">
        <v>1.0</v>
      </c>
      <c r="G135" s="7">
        <v>44851.0</v>
      </c>
      <c r="H135" s="8">
        <v>14.0</v>
      </c>
      <c r="I135" s="9" t="s">
        <v>219</v>
      </c>
      <c r="J135" s="4" t="s">
        <v>220</v>
      </c>
      <c r="K135" s="5"/>
      <c r="L135" s="4"/>
      <c r="M135" s="4"/>
      <c r="N135" s="4"/>
      <c r="O135" s="10">
        <v>0.6897569444444445</v>
      </c>
      <c r="P135" s="4"/>
      <c r="Q135" s="10">
        <v>0.7047337962962963</v>
      </c>
      <c r="R135" s="11">
        <f t="shared" si="15"/>
        <v>0.01497685185</v>
      </c>
      <c r="S135" s="4"/>
      <c r="T135" s="9" t="s">
        <v>221</v>
      </c>
      <c r="U135" s="9" t="s">
        <v>222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4" t="s">
        <v>23</v>
      </c>
      <c r="B136" s="4" t="s">
        <v>226</v>
      </c>
      <c r="C136" s="4" t="str">
        <f t="shared" si="1"/>
        <v>2210RL_014_PF_Bon_02</v>
      </c>
      <c r="D136" s="4" t="s">
        <v>25</v>
      </c>
      <c r="E136" s="5" t="s">
        <v>39</v>
      </c>
      <c r="F136" s="6">
        <v>2.0</v>
      </c>
      <c r="G136" s="7">
        <v>44851.0</v>
      </c>
      <c r="H136" s="8">
        <v>14.0</v>
      </c>
      <c r="I136" s="9" t="s">
        <v>219</v>
      </c>
      <c r="J136" s="4" t="s">
        <v>220</v>
      </c>
      <c r="K136" s="5"/>
      <c r="L136" s="4"/>
      <c r="M136" s="4"/>
      <c r="N136" s="4"/>
      <c r="O136" s="10">
        <v>0.6897569444444445</v>
      </c>
      <c r="P136" s="4"/>
      <c r="Q136" s="10">
        <v>0.7047337962962963</v>
      </c>
      <c r="R136" s="11">
        <f t="shared" si="15"/>
        <v>0.01497685185</v>
      </c>
      <c r="S136" s="4"/>
      <c r="T136" s="9" t="s">
        <v>221</v>
      </c>
      <c r="U136" s="9" t="s">
        <v>222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4" t="s">
        <v>23</v>
      </c>
      <c r="B137" s="4" t="s">
        <v>227</v>
      </c>
      <c r="C137" s="4" t="str">
        <f t="shared" si="1"/>
        <v>2210RL_014_PF_Bon_03</v>
      </c>
      <c r="D137" s="4" t="s">
        <v>25</v>
      </c>
      <c r="E137" s="5" t="s">
        <v>39</v>
      </c>
      <c r="F137" s="6">
        <v>3.0</v>
      </c>
      <c r="G137" s="7">
        <v>44851.0</v>
      </c>
      <c r="H137" s="8">
        <v>14.0</v>
      </c>
      <c r="I137" s="9" t="s">
        <v>219</v>
      </c>
      <c r="J137" s="4" t="s">
        <v>220</v>
      </c>
      <c r="K137" s="5"/>
      <c r="L137" s="4"/>
      <c r="M137" s="4"/>
      <c r="N137" s="4"/>
      <c r="O137" s="10">
        <v>0.6897569444444445</v>
      </c>
      <c r="P137" s="4"/>
      <c r="Q137" s="10">
        <v>0.7047337962962963</v>
      </c>
      <c r="R137" s="11">
        <f t="shared" si="15"/>
        <v>0.01497685185</v>
      </c>
      <c r="S137" s="4"/>
      <c r="T137" s="9" t="s">
        <v>221</v>
      </c>
      <c r="U137" s="9" t="s">
        <v>222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4" t="s">
        <v>23</v>
      </c>
      <c r="B138" s="4" t="s">
        <v>228</v>
      </c>
      <c r="C138" s="4" t="str">
        <f t="shared" si="1"/>
        <v>2210RL_014_PF_Man_01</v>
      </c>
      <c r="D138" s="4" t="s">
        <v>25</v>
      </c>
      <c r="E138" s="5" t="s">
        <v>35</v>
      </c>
      <c r="F138" s="6">
        <v>1.0</v>
      </c>
      <c r="G138" s="7">
        <v>44851.0</v>
      </c>
      <c r="H138" s="8">
        <v>14.0</v>
      </c>
      <c r="I138" s="9" t="s">
        <v>219</v>
      </c>
      <c r="J138" s="4" t="s">
        <v>220</v>
      </c>
      <c r="K138" s="5"/>
      <c r="L138" s="4"/>
      <c r="M138" s="4"/>
      <c r="N138" s="4"/>
      <c r="O138" s="10">
        <v>0.6764236111111112</v>
      </c>
      <c r="P138" s="4"/>
      <c r="Q138" s="10">
        <v>0.6869212962962963</v>
      </c>
      <c r="R138" s="11">
        <f t="shared" si="15"/>
        <v>0.01049768519</v>
      </c>
      <c r="S138" s="4"/>
      <c r="T138" s="9" t="s">
        <v>221</v>
      </c>
      <c r="U138" s="9" t="s">
        <v>222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4" t="s">
        <v>23</v>
      </c>
      <c r="B139" s="4" t="s">
        <v>229</v>
      </c>
      <c r="C139" s="4" t="str">
        <f t="shared" si="1"/>
        <v>2210RL_014_PF_Man_02</v>
      </c>
      <c r="D139" s="4" t="s">
        <v>25</v>
      </c>
      <c r="E139" s="5" t="s">
        <v>35</v>
      </c>
      <c r="F139" s="6">
        <v>2.0</v>
      </c>
      <c r="G139" s="7">
        <v>44851.0</v>
      </c>
      <c r="H139" s="8">
        <v>14.0</v>
      </c>
      <c r="I139" s="9" t="s">
        <v>219</v>
      </c>
      <c r="J139" s="4" t="s">
        <v>220</v>
      </c>
      <c r="K139" s="5"/>
      <c r="L139" s="4"/>
      <c r="M139" s="4"/>
      <c r="N139" s="4"/>
      <c r="O139" s="10">
        <v>0.6764236111111112</v>
      </c>
      <c r="P139" s="4"/>
      <c r="Q139" s="10">
        <v>0.6869212962962963</v>
      </c>
      <c r="R139" s="11">
        <f t="shared" si="15"/>
        <v>0.01049768519</v>
      </c>
      <c r="S139" s="4"/>
      <c r="T139" s="9" t="s">
        <v>221</v>
      </c>
      <c r="U139" s="9" t="s">
        <v>222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4" t="s">
        <v>23</v>
      </c>
      <c r="B140" s="4" t="s">
        <v>230</v>
      </c>
      <c r="C140" s="4" t="str">
        <f t="shared" si="1"/>
        <v>2210RL_014_PF_Man_03</v>
      </c>
      <c r="D140" s="4" t="s">
        <v>25</v>
      </c>
      <c r="E140" s="5" t="s">
        <v>35</v>
      </c>
      <c r="F140" s="6">
        <v>3.0</v>
      </c>
      <c r="G140" s="7">
        <v>44851.0</v>
      </c>
      <c r="H140" s="8">
        <v>14.0</v>
      </c>
      <c r="I140" s="9" t="s">
        <v>219</v>
      </c>
      <c r="J140" s="4" t="s">
        <v>220</v>
      </c>
      <c r="K140" s="5"/>
      <c r="L140" s="4"/>
      <c r="M140" s="4"/>
      <c r="N140" s="4"/>
      <c r="O140" s="10">
        <v>0.6764236111111112</v>
      </c>
      <c r="P140" s="4"/>
      <c r="Q140" s="10">
        <v>0.6869212962962963</v>
      </c>
      <c r="R140" s="11">
        <f t="shared" si="15"/>
        <v>0.01049768519</v>
      </c>
      <c r="S140" s="4"/>
      <c r="T140" s="9" t="s">
        <v>221</v>
      </c>
      <c r="U140" s="9" t="s">
        <v>222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4" t="s">
        <v>23</v>
      </c>
      <c r="B141" s="4" t="s">
        <v>231</v>
      </c>
      <c r="C141" s="4" t="str">
        <f t="shared" si="1"/>
        <v>2210RL_014_PF_Blank</v>
      </c>
      <c r="D141" s="4" t="s">
        <v>25</v>
      </c>
      <c r="E141" s="4"/>
      <c r="F141" s="5" t="s">
        <v>43</v>
      </c>
      <c r="G141" s="7">
        <v>44851.0</v>
      </c>
      <c r="H141" s="8">
        <v>14.0</v>
      </c>
      <c r="I141" s="9" t="s">
        <v>219</v>
      </c>
      <c r="J141" s="4" t="s">
        <v>220</v>
      </c>
      <c r="K141" s="5"/>
      <c r="L141" s="4"/>
      <c r="M141" s="4"/>
      <c r="N141" s="4"/>
      <c r="O141" s="4"/>
      <c r="P141" s="4"/>
      <c r="Q141" s="4"/>
      <c r="R141" s="4"/>
      <c r="S141" s="4"/>
      <c r="T141" s="9" t="s">
        <v>221</v>
      </c>
      <c r="U141" s="9" t="s">
        <v>222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4" t="s">
        <v>23</v>
      </c>
      <c r="B142" s="4" t="s">
        <v>232</v>
      </c>
      <c r="C142" s="4" t="str">
        <f t="shared" si="1"/>
        <v>2210RL_015_PF_CTD_01</v>
      </c>
      <c r="D142" s="4" t="s">
        <v>25</v>
      </c>
      <c r="E142" s="5" t="s">
        <v>26</v>
      </c>
      <c r="F142" s="6">
        <v>1.0</v>
      </c>
      <c r="G142" s="7">
        <v>44851.0</v>
      </c>
      <c r="H142" s="8">
        <v>15.0</v>
      </c>
      <c r="I142" s="9" t="s">
        <v>233</v>
      </c>
      <c r="J142" s="4" t="s">
        <v>234</v>
      </c>
      <c r="K142" s="5"/>
      <c r="L142" s="4"/>
      <c r="M142" s="4"/>
      <c r="N142" s="4"/>
      <c r="O142" s="10">
        <v>0.8858217592592592</v>
      </c>
      <c r="P142" s="10">
        <v>0.8962037037037037</v>
      </c>
      <c r="Q142" s="10">
        <v>0.9098379629629629</v>
      </c>
      <c r="R142" s="11">
        <f t="shared" ref="R142:R159" si="16">Q142-O142</f>
        <v>0.0240162037</v>
      </c>
      <c r="S142" s="4"/>
      <c r="T142" s="9" t="s">
        <v>235</v>
      </c>
      <c r="U142" s="9" t="s">
        <v>236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4" t="s">
        <v>23</v>
      </c>
      <c r="B143" s="4" t="s">
        <v>237</v>
      </c>
      <c r="C143" s="4" t="str">
        <f t="shared" si="1"/>
        <v>2210RL_015_PF_CTD_02</v>
      </c>
      <c r="D143" s="4" t="s">
        <v>25</v>
      </c>
      <c r="E143" s="5" t="s">
        <v>26</v>
      </c>
      <c r="F143" s="6">
        <v>2.0</v>
      </c>
      <c r="G143" s="7">
        <v>44851.0</v>
      </c>
      <c r="H143" s="8">
        <v>15.0</v>
      </c>
      <c r="I143" s="9" t="s">
        <v>233</v>
      </c>
      <c r="J143" s="4" t="s">
        <v>234</v>
      </c>
      <c r="K143" s="5"/>
      <c r="L143" s="4"/>
      <c r="M143" s="4"/>
      <c r="N143" s="4"/>
      <c r="O143" s="10">
        <v>0.8858217592592592</v>
      </c>
      <c r="P143" s="10">
        <v>0.8962037037037037</v>
      </c>
      <c r="Q143" s="10">
        <v>0.9098379629629629</v>
      </c>
      <c r="R143" s="11">
        <f t="shared" si="16"/>
        <v>0.0240162037</v>
      </c>
      <c r="S143" s="4"/>
      <c r="T143" s="9" t="s">
        <v>235</v>
      </c>
      <c r="U143" s="9" t="s">
        <v>236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4" t="s">
        <v>23</v>
      </c>
      <c r="B144" s="4" t="s">
        <v>238</v>
      </c>
      <c r="C144" s="4" t="str">
        <f t="shared" si="1"/>
        <v>2210RL_015_PF_CTD_03</v>
      </c>
      <c r="D144" s="4" t="s">
        <v>25</v>
      </c>
      <c r="E144" s="5" t="s">
        <v>26</v>
      </c>
      <c r="F144" s="6">
        <v>3.0</v>
      </c>
      <c r="G144" s="7">
        <v>44851.0</v>
      </c>
      <c r="H144" s="8">
        <v>15.0</v>
      </c>
      <c r="I144" s="9" t="s">
        <v>233</v>
      </c>
      <c r="J144" s="4" t="s">
        <v>234</v>
      </c>
      <c r="K144" s="5"/>
      <c r="L144" s="4"/>
      <c r="M144" s="4"/>
      <c r="N144" s="4"/>
      <c r="O144" s="10">
        <v>0.8858217592592592</v>
      </c>
      <c r="P144" s="10">
        <v>0.8962037037037037</v>
      </c>
      <c r="Q144" s="10">
        <v>0.9098379629629629</v>
      </c>
      <c r="R144" s="11">
        <f t="shared" si="16"/>
        <v>0.0240162037</v>
      </c>
      <c r="S144" s="4"/>
      <c r="T144" s="9" t="s">
        <v>235</v>
      </c>
      <c r="U144" s="9" t="s">
        <v>236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4" t="s">
        <v>23</v>
      </c>
      <c r="B145" s="4" t="s">
        <v>239</v>
      </c>
      <c r="C145" s="4" t="str">
        <f t="shared" si="1"/>
        <v>2210RL_015_PF_Man_01</v>
      </c>
      <c r="D145" s="4" t="s">
        <v>25</v>
      </c>
      <c r="E145" s="5" t="s">
        <v>35</v>
      </c>
      <c r="F145" s="6">
        <v>1.0</v>
      </c>
      <c r="G145" s="7">
        <v>44851.0</v>
      </c>
      <c r="H145" s="8">
        <v>15.0</v>
      </c>
      <c r="I145" s="9" t="s">
        <v>233</v>
      </c>
      <c r="J145" s="4" t="s">
        <v>234</v>
      </c>
      <c r="K145" s="5"/>
      <c r="L145" s="4"/>
      <c r="M145" s="4"/>
      <c r="N145" s="4"/>
      <c r="O145" s="10">
        <v>0.9139583333333333</v>
      </c>
      <c r="P145" s="4"/>
      <c r="Q145" s="10">
        <v>0.924699074074074</v>
      </c>
      <c r="R145" s="11">
        <f t="shared" si="16"/>
        <v>0.01074074074</v>
      </c>
      <c r="S145" s="4"/>
      <c r="T145" s="9" t="s">
        <v>235</v>
      </c>
      <c r="U145" s="9" t="s">
        <v>236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4" t="s">
        <v>23</v>
      </c>
      <c r="B146" s="4" t="s">
        <v>240</v>
      </c>
      <c r="C146" s="4" t="str">
        <f t="shared" si="1"/>
        <v>2210RL_015_PF_Man_02</v>
      </c>
      <c r="D146" s="4" t="s">
        <v>25</v>
      </c>
      <c r="E146" s="5" t="s">
        <v>35</v>
      </c>
      <c r="F146" s="6">
        <v>2.0</v>
      </c>
      <c r="G146" s="7">
        <v>44851.0</v>
      </c>
      <c r="H146" s="8">
        <v>15.0</v>
      </c>
      <c r="I146" s="9" t="s">
        <v>233</v>
      </c>
      <c r="J146" s="4" t="s">
        <v>234</v>
      </c>
      <c r="K146" s="5"/>
      <c r="L146" s="4"/>
      <c r="M146" s="4"/>
      <c r="N146" s="4"/>
      <c r="O146" s="10">
        <v>0.9139583333333333</v>
      </c>
      <c r="P146" s="4"/>
      <c r="Q146" s="10">
        <v>0.924699074074074</v>
      </c>
      <c r="R146" s="11">
        <f t="shared" si="16"/>
        <v>0.01074074074</v>
      </c>
      <c r="S146" s="4"/>
      <c r="T146" s="9" t="s">
        <v>235</v>
      </c>
      <c r="U146" s="9" t="s">
        <v>236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4" t="s">
        <v>23</v>
      </c>
      <c r="B147" s="4" t="s">
        <v>241</v>
      </c>
      <c r="C147" s="4" t="str">
        <f t="shared" si="1"/>
        <v>2210RL_015_PF_Man_03</v>
      </c>
      <c r="D147" s="4" t="s">
        <v>25</v>
      </c>
      <c r="E147" s="5" t="s">
        <v>35</v>
      </c>
      <c r="F147" s="6">
        <v>3.0</v>
      </c>
      <c r="G147" s="7">
        <v>44851.0</v>
      </c>
      <c r="H147" s="8">
        <v>15.0</v>
      </c>
      <c r="I147" s="9" t="s">
        <v>233</v>
      </c>
      <c r="J147" s="4" t="s">
        <v>234</v>
      </c>
      <c r="K147" s="5"/>
      <c r="L147" s="4"/>
      <c r="M147" s="4"/>
      <c r="N147" s="4"/>
      <c r="O147" s="10">
        <v>0.9139583333333333</v>
      </c>
      <c r="P147" s="4"/>
      <c r="Q147" s="10">
        <v>0.924699074074074</v>
      </c>
      <c r="R147" s="11">
        <f t="shared" si="16"/>
        <v>0.01074074074</v>
      </c>
      <c r="S147" s="4"/>
      <c r="T147" s="9" t="s">
        <v>235</v>
      </c>
      <c r="U147" s="9" t="s">
        <v>236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4" t="s">
        <v>23</v>
      </c>
      <c r="B148" s="4" t="s">
        <v>242</v>
      </c>
      <c r="C148" s="4" t="str">
        <f t="shared" si="1"/>
        <v>2210RL_015_PF_Bon_01</v>
      </c>
      <c r="D148" s="4" t="s">
        <v>25</v>
      </c>
      <c r="E148" s="5" t="s">
        <v>39</v>
      </c>
      <c r="F148" s="6">
        <v>1.0</v>
      </c>
      <c r="G148" s="7">
        <v>44851.0</v>
      </c>
      <c r="H148" s="8">
        <v>15.0</v>
      </c>
      <c r="I148" s="9" t="s">
        <v>233</v>
      </c>
      <c r="J148" s="4" t="s">
        <v>234</v>
      </c>
      <c r="K148" s="5"/>
      <c r="L148" s="4"/>
      <c r="M148" s="4"/>
      <c r="N148" s="4"/>
      <c r="O148" s="10">
        <v>0.9283449074074074</v>
      </c>
      <c r="P148" s="4"/>
      <c r="Q148" s="10">
        <v>0.9430555555555555</v>
      </c>
      <c r="R148" s="11">
        <f t="shared" si="16"/>
        <v>0.01471064815</v>
      </c>
      <c r="S148" s="4"/>
      <c r="T148" s="9" t="s">
        <v>235</v>
      </c>
      <c r="U148" s="9" t="s">
        <v>236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4" t="s">
        <v>23</v>
      </c>
      <c r="B149" s="4" t="s">
        <v>243</v>
      </c>
      <c r="C149" s="4" t="str">
        <f t="shared" si="1"/>
        <v>2210RL_015_PF_Bon_02</v>
      </c>
      <c r="D149" s="4" t="s">
        <v>25</v>
      </c>
      <c r="E149" s="5" t="s">
        <v>39</v>
      </c>
      <c r="F149" s="6">
        <v>2.0</v>
      </c>
      <c r="G149" s="7">
        <v>44851.0</v>
      </c>
      <c r="H149" s="8">
        <v>15.0</v>
      </c>
      <c r="I149" s="9" t="s">
        <v>233</v>
      </c>
      <c r="J149" s="4" t="s">
        <v>234</v>
      </c>
      <c r="K149" s="5"/>
      <c r="L149" s="4"/>
      <c r="M149" s="4"/>
      <c r="N149" s="4"/>
      <c r="O149" s="10">
        <v>0.9283449074074074</v>
      </c>
      <c r="P149" s="4"/>
      <c r="Q149" s="10">
        <v>0.9430555555555555</v>
      </c>
      <c r="R149" s="11">
        <f t="shared" si="16"/>
        <v>0.01471064815</v>
      </c>
      <c r="S149" s="4"/>
      <c r="T149" s="9" t="s">
        <v>235</v>
      </c>
      <c r="U149" s="9" t="s">
        <v>236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4" t="s">
        <v>23</v>
      </c>
      <c r="B150" s="4" t="s">
        <v>244</v>
      </c>
      <c r="C150" s="4" t="str">
        <f t="shared" si="1"/>
        <v>2210RL_015_PF_Bon_03</v>
      </c>
      <c r="D150" s="4" t="s">
        <v>25</v>
      </c>
      <c r="E150" s="5" t="s">
        <v>39</v>
      </c>
      <c r="F150" s="6">
        <v>3.0</v>
      </c>
      <c r="G150" s="7">
        <v>44851.0</v>
      </c>
      <c r="H150" s="8">
        <v>15.0</v>
      </c>
      <c r="I150" s="9" t="s">
        <v>233</v>
      </c>
      <c r="J150" s="4" t="s">
        <v>234</v>
      </c>
      <c r="K150" s="5"/>
      <c r="L150" s="4"/>
      <c r="M150" s="4"/>
      <c r="N150" s="4"/>
      <c r="O150" s="10">
        <v>0.9283449074074074</v>
      </c>
      <c r="P150" s="4"/>
      <c r="Q150" s="10">
        <v>0.9430555555555555</v>
      </c>
      <c r="R150" s="11">
        <f t="shared" si="16"/>
        <v>0.01471064815</v>
      </c>
      <c r="S150" s="4"/>
      <c r="T150" s="9" t="s">
        <v>235</v>
      </c>
      <c r="U150" s="9" t="s">
        <v>236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4" t="s">
        <v>23</v>
      </c>
      <c r="B151" s="4" t="s">
        <v>245</v>
      </c>
      <c r="C151" s="4" t="str">
        <f t="shared" si="1"/>
        <v>2210RL_016_PF_CTD_01</v>
      </c>
      <c r="D151" s="4" t="s">
        <v>25</v>
      </c>
      <c r="E151" s="5" t="s">
        <v>26</v>
      </c>
      <c r="F151" s="6">
        <v>1.0</v>
      </c>
      <c r="G151" s="7">
        <v>44852.0</v>
      </c>
      <c r="H151" s="8">
        <v>16.0</v>
      </c>
      <c r="I151" s="9" t="s">
        <v>246</v>
      </c>
      <c r="J151" s="4" t="s">
        <v>247</v>
      </c>
      <c r="K151" s="5"/>
      <c r="L151" s="4"/>
      <c r="M151" s="4"/>
      <c r="N151" s="4"/>
      <c r="O151" s="10">
        <v>0.8798842592592593</v>
      </c>
      <c r="P151" s="10">
        <v>0.8892592592592593</v>
      </c>
      <c r="Q151" s="10">
        <v>0.9008449074074074</v>
      </c>
      <c r="R151" s="11">
        <f t="shared" si="16"/>
        <v>0.02096064815</v>
      </c>
      <c r="S151" s="4"/>
      <c r="T151" s="9" t="s">
        <v>248</v>
      </c>
      <c r="U151" s="9" t="s">
        <v>249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4" t="s">
        <v>23</v>
      </c>
      <c r="B152" s="4" t="s">
        <v>250</v>
      </c>
      <c r="C152" s="4" t="str">
        <f t="shared" si="1"/>
        <v>2210RL_016_PF_CTD_02</v>
      </c>
      <c r="D152" s="4" t="s">
        <v>25</v>
      </c>
      <c r="E152" s="5" t="s">
        <v>26</v>
      </c>
      <c r="F152" s="6">
        <v>2.0</v>
      </c>
      <c r="G152" s="7">
        <v>44852.0</v>
      </c>
      <c r="H152" s="8">
        <v>16.0</v>
      </c>
      <c r="I152" s="9" t="s">
        <v>246</v>
      </c>
      <c r="J152" s="4" t="s">
        <v>247</v>
      </c>
      <c r="K152" s="5"/>
      <c r="L152" s="4"/>
      <c r="M152" s="4"/>
      <c r="N152" s="4"/>
      <c r="O152" s="10">
        <v>0.8798842592592593</v>
      </c>
      <c r="P152" s="10">
        <v>0.8892592592592593</v>
      </c>
      <c r="Q152" s="10">
        <v>0.9008449074074074</v>
      </c>
      <c r="R152" s="11">
        <f t="shared" si="16"/>
        <v>0.02096064815</v>
      </c>
      <c r="S152" s="4"/>
      <c r="T152" s="9" t="s">
        <v>248</v>
      </c>
      <c r="U152" s="9" t="s">
        <v>249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4" t="s">
        <v>23</v>
      </c>
      <c r="B153" s="4" t="s">
        <v>251</v>
      </c>
      <c r="C153" s="4" t="str">
        <f t="shared" si="1"/>
        <v>2210RL_016_PF_CTD_03</v>
      </c>
      <c r="D153" s="4" t="s">
        <v>25</v>
      </c>
      <c r="E153" s="5" t="s">
        <v>26</v>
      </c>
      <c r="F153" s="6">
        <v>3.0</v>
      </c>
      <c r="G153" s="7">
        <v>44852.0</v>
      </c>
      <c r="H153" s="8">
        <v>16.0</v>
      </c>
      <c r="I153" s="9" t="s">
        <v>246</v>
      </c>
      <c r="J153" s="4" t="s">
        <v>247</v>
      </c>
      <c r="K153" s="5"/>
      <c r="L153" s="4"/>
      <c r="M153" s="4"/>
      <c r="N153" s="4"/>
      <c r="O153" s="10">
        <v>0.8798842592592593</v>
      </c>
      <c r="P153" s="10">
        <v>0.8892592592592593</v>
      </c>
      <c r="Q153" s="10">
        <v>0.9008449074074074</v>
      </c>
      <c r="R153" s="11">
        <f t="shared" si="16"/>
        <v>0.02096064815</v>
      </c>
      <c r="S153" s="4"/>
      <c r="T153" s="9" t="s">
        <v>248</v>
      </c>
      <c r="U153" s="9" t="s">
        <v>249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4" t="s">
        <v>23</v>
      </c>
      <c r="B154" s="4" t="s">
        <v>252</v>
      </c>
      <c r="C154" s="4" t="str">
        <f t="shared" si="1"/>
        <v>2210RL_016_PF_Man_01</v>
      </c>
      <c r="D154" s="4" t="s">
        <v>25</v>
      </c>
      <c r="E154" s="5" t="s">
        <v>35</v>
      </c>
      <c r="F154" s="6">
        <v>1.0</v>
      </c>
      <c r="G154" s="7">
        <v>44852.0</v>
      </c>
      <c r="H154" s="8">
        <v>16.0</v>
      </c>
      <c r="I154" s="9" t="s">
        <v>246</v>
      </c>
      <c r="J154" s="4" t="s">
        <v>247</v>
      </c>
      <c r="K154" s="5"/>
      <c r="L154" s="4"/>
      <c r="M154" s="4"/>
      <c r="N154" s="4"/>
      <c r="O154" s="10">
        <v>0.906099537037037</v>
      </c>
      <c r="P154" s="4"/>
      <c r="Q154" s="10">
        <v>0.9167708333333333</v>
      </c>
      <c r="R154" s="11">
        <f t="shared" si="16"/>
        <v>0.0106712963</v>
      </c>
      <c r="S154" s="4"/>
      <c r="T154" s="9" t="s">
        <v>248</v>
      </c>
      <c r="U154" s="9" t="s">
        <v>249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4" t="s">
        <v>23</v>
      </c>
      <c r="B155" s="4" t="s">
        <v>253</v>
      </c>
      <c r="C155" s="4" t="str">
        <f t="shared" si="1"/>
        <v>2210RL_016_PF_Man_02</v>
      </c>
      <c r="D155" s="4" t="s">
        <v>25</v>
      </c>
      <c r="E155" s="5" t="s">
        <v>35</v>
      </c>
      <c r="F155" s="6">
        <v>2.0</v>
      </c>
      <c r="G155" s="7">
        <v>44852.0</v>
      </c>
      <c r="H155" s="8">
        <v>16.0</v>
      </c>
      <c r="I155" s="9" t="s">
        <v>246</v>
      </c>
      <c r="J155" s="4" t="s">
        <v>247</v>
      </c>
      <c r="K155" s="5"/>
      <c r="L155" s="4"/>
      <c r="M155" s="4"/>
      <c r="N155" s="4"/>
      <c r="O155" s="10">
        <v>0.906099537037037</v>
      </c>
      <c r="P155" s="4"/>
      <c r="Q155" s="10">
        <v>0.9167708333333333</v>
      </c>
      <c r="R155" s="11">
        <f t="shared" si="16"/>
        <v>0.0106712963</v>
      </c>
      <c r="S155" s="4"/>
      <c r="T155" s="9" t="s">
        <v>248</v>
      </c>
      <c r="U155" s="9" t="s">
        <v>249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4" t="s">
        <v>23</v>
      </c>
      <c r="B156" s="4" t="s">
        <v>254</v>
      </c>
      <c r="C156" s="4" t="str">
        <f t="shared" si="1"/>
        <v>2210RL_016_PF_Man_03</v>
      </c>
      <c r="D156" s="4" t="s">
        <v>25</v>
      </c>
      <c r="E156" s="5" t="s">
        <v>35</v>
      </c>
      <c r="F156" s="6">
        <v>3.0</v>
      </c>
      <c r="G156" s="7">
        <v>44852.0</v>
      </c>
      <c r="H156" s="8">
        <v>16.0</v>
      </c>
      <c r="I156" s="9" t="s">
        <v>246</v>
      </c>
      <c r="J156" s="4" t="s">
        <v>247</v>
      </c>
      <c r="K156" s="5"/>
      <c r="L156" s="4"/>
      <c r="M156" s="4"/>
      <c r="N156" s="4"/>
      <c r="O156" s="10">
        <v>0.906099537037037</v>
      </c>
      <c r="P156" s="4"/>
      <c r="Q156" s="10">
        <v>0.9167708333333333</v>
      </c>
      <c r="R156" s="11">
        <f t="shared" si="16"/>
        <v>0.0106712963</v>
      </c>
      <c r="S156" s="4"/>
      <c r="T156" s="9" t="s">
        <v>248</v>
      </c>
      <c r="U156" s="9" t="s">
        <v>249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4" t="s">
        <v>23</v>
      </c>
      <c r="B157" s="4" t="s">
        <v>255</v>
      </c>
      <c r="C157" s="4" t="str">
        <f t="shared" si="1"/>
        <v>2210RL_016_PF_Bon_01</v>
      </c>
      <c r="D157" s="4" t="s">
        <v>25</v>
      </c>
      <c r="E157" s="5" t="s">
        <v>39</v>
      </c>
      <c r="F157" s="6">
        <v>1.0</v>
      </c>
      <c r="G157" s="7">
        <v>44852.0</v>
      </c>
      <c r="H157" s="8">
        <v>16.0</v>
      </c>
      <c r="I157" s="9" t="s">
        <v>246</v>
      </c>
      <c r="J157" s="4" t="s">
        <v>247</v>
      </c>
      <c r="K157" s="5"/>
      <c r="L157" s="4"/>
      <c r="M157" s="4"/>
      <c r="N157" s="4"/>
      <c r="O157" s="10">
        <v>0.9194560185185185</v>
      </c>
      <c r="P157" s="4"/>
      <c r="Q157" s="10">
        <v>0.9342824074074074</v>
      </c>
      <c r="R157" s="11">
        <f t="shared" si="16"/>
        <v>0.01482638889</v>
      </c>
      <c r="S157" s="4"/>
      <c r="T157" s="9" t="s">
        <v>248</v>
      </c>
      <c r="U157" s="9" t="s">
        <v>249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4" t="s">
        <v>23</v>
      </c>
      <c r="B158" s="4" t="s">
        <v>256</v>
      </c>
      <c r="C158" s="4" t="str">
        <f t="shared" si="1"/>
        <v>2210RL_016_PF_Bon_02</v>
      </c>
      <c r="D158" s="4" t="s">
        <v>25</v>
      </c>
      <c r="E158" s="5" t="s">
        <v>39</v>
      </c>
      <c r="F158" s="6">
        <v>2.0</v>
      </c>
      <c r="G158" s="7">
        <v>44852.0</v>
      </c>
      <c r="H158" s="8">
        <v>16.0</v>
      </c>
      <c r="I158" s="9" t="s">
        <v>246</v>
      </c>
      <c r="J158" s="4" t="s">
        <v>247</v>
      </c>
      <c r="K158" s="5"/>
      <c r="L158" s="4"/>
      <c r="M158" s="4"/>
      <c r="N158" s="4"/>
      <c r="O158" s="10">
        <v>0.9194560185185185</v>
      </c>
      <c r="P158" s="4"/>
      <c r="Q158" s="10">
        <v>0.9342824074074074</v>
      </c>
      <c r="R158" s="11">
        <f t="shared" si="16"/>
        <v>0.01482638889</v>
      </c>
      <c r="S158" s="4"/>
      <c r="T158" s="9" t="s">
        <v>248</v>
      </c>
      <c r="U158" s="9" t="s">
        <v>249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4" t="s">
        <v>23</v>
      </c>
      <c r="B159" s="4" t="s">
        <v>257</v>
      </c>
      <c r="C159" s="4" t="str">
        <f t="shared" si="1"/>
        <v>2210RL_016_PF_Bon_03</v>
      </c>
      <c r="D159" s="4" t="s">
        <v>25</v>
      </c>
      <c r="E159" s="5" t="s">
        <v>39</v>
      </c>
      <c r="F159" s="6">
        <v>3.0</v>
      </c>
      <c r="G159" s="7">
        <v>44852.0</v>
      </c>
      <c r="H159" s="8">
        <v>16.0</v>
      </c>
      <c r="I159" s="9" t="s">
        <v>246</v>
      </c>
      <c r="J159" s="4" t="s">
        <v>247</v>
      </c>
      <c r="K159" s="5"/>
      <c r="L159" s="4"/>
      <c r="M159" s="4"/>
      <c r="N159" s="4"/>
      <c r="O159" s="10">
        <v>0.9194560185185185</v>
      </c>
      <c r="P159" s="4"/>
      <c r="Q159" s="10">
        <v>0.9342824074074074</v>
      </c>
      <c r="R159" s="11">
        <f t="shared" si="16"/>
        <v>0.01482638889</v>
      </c>
      <c r="S159" s="4"/>
      <c r="T159" s="9" t="s">
        <v>248</v>
      </c>
      <c r="U159" s="9" t="s">
        <v>249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4" t="s">
        <v>23</v>
      </c>
      <c r="B160" s="4" t="s">
        <v>258</v>
      </c>
      <c r="C160" s="4" t="str">
        <f t="shared" si="1"/>
        <v>2210RL_016_PF_Blank</v>
      </c>
      <c r="D160" s="4" t="s">
        <v>25</v>
      </c>
      <c r="E160" s="5"/>
      <c r="F160" s="5" t="s">
        <v>43</v>
      </c>
      <c r="G160" s="7">
        <v>44852.0</v>
      </c>
      <c r="H160" s="8">
        <v>16.0</v>
      </c>
      <c r="I160" s="9" t="s">
        <v>246</v>
      </c>
      <c r="J160" s="4" t="s">
        <v>247</v>
      </c>
      <c r="K160" s="5"/>
      <c r="L160" s="4"/>
      <c r="M160" s="4"/>
      <c r="N160" s="4"/>
      <c r="O160" s="4"/>
      <c r="P160" s="4"/>
      <c r="Q160" s="4"/>
      <c r="R160" s="4"/>
      <c r="S160" s="4"/>
      <c r="T160" s="9" t="s">
        <v>248</v>
      </c>
      <c r="U160" s="9" t="s">
        <v>249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4"/>
      <c r="B161" s="4"/>
      <c r="C161" s="4"/>
      <c r="D161" s="4"/>
      <c r="E161" s="5"/>
      <c r="F161" s="5"/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4"/>
      <c r="B162" s="4"/>
      <c r="C162" s="4"/>
      <c r="D162" s="4"/>
      <c r="E162" s="5"/>
      <c r="F162" s="5"/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4"/>
      <c r="B163" s="4"/>
      <c r="C163" s="4"/>
      <c r="D163" s="4"/>
      <c r="E163" s="5"/>
      <c r="F163" s="5"/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4"/>
      <c r="B164" s="4"/>
      <c r="C164" s="4"/>
      <c r="D164" s="4"/>
      <c r="E164" s="5"/>
      <c r="F164" s="5"/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4"/>
      <c r="B165" s="4"/>
      <c r="C165" s="4"/>
      <c r="D165" s="4"/>
      <c r="E165" s="5"/>
      <c r="F165" s="5"/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4"/>
      <c r="B166" s="4"/>
      <c r="C166" s="4"/>
      <c r="D166" s="4"/>
      <c r="E166" s="5"/>
      <c r="F166" s="5"/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4"/>
      <c r="B167" s="4"/>
      <c r="C167" s="4"/>
      <c r="D167" s="4"/>
      <c r="E167" s="5"/>
      <c r="F167" s="5"/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4"/>
      <c r="B168" s="4"/>
      <c r="C168" s="4"/>
      <c r="D168" s="4"/>
      <c r="E168" s="5"/>
      <c r="F168" s="5"/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4"/>
      <c r="B169" s="4"/>
      <c r="C169" s="4"/>
      <c r="D169" s="4"/>
      <c r="E169" s="5"/>
      <c r="F169" s="5"/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4"/>
      <c r="B170" s="4"/>
      <c r="C170" s="4"/>
      <c r="D170" s="4"/>
      <c r="E170" s="5"/>
      <c r="F170" s="5"/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4"/>
      <c r="B171" s="4"/>
      <c r="C171" s="4"/>
      <c r="D171" s="4"/>
      <c r="E171" s="5"/>
      <c r="F171" s="5"/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4"/>
      <c r="B172" s="4"/>
      <c r="C172" s="4"/>
      <c r="D172" s="4"/>
      <c r="E172" s="5"/>
      <c r="F172" s="5"/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4"/>
      <c r="B173" s="4"/>
      <c r="C173" s="4"/>
      <c r="D173" s="4"/>
      <c r="E173" s="5"/>
      <c r="F173" s="5"/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4"/>
      <c r="B174" s="4"/>
      <c r="C174" s="4"/>
      <c r="D174" s="4"/>
      <c r="E174" s="5"/>
      <c r="F174" s="5"/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4"/>
      <c r="B175" s="4"/>
      <c r="C175" s="4"/>
      <c r="D175" s="4"/>
      <c r="E175" s="5"/>
      <c r="F175" s="5"/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4"/>
      <c r="B176" s="4"/>
      <c r="C176" s="4"/>
      <c r="D176" s="4"/>
      <c r="E176" s="5"/>
      <c r="F176" s="5"/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4"/>
      <c r="B177" s="4"/>
      <c r="C177" s="4"/>
      <c r="D177" s="4"/>
      <c r="E177" s="5"/>
      <c r="F177" s="5"/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4"/>
      <c r="B178" s="4"/>
      <c r="C178" s="4"/>
      <c r="D178" s="4"/>
      <c r="E178" s="5"/>
      <c r="F178" s="5"/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4"/>
      <c r="B179" s="4"/>
      <c r="C179" s="4"/>
      <c r="D179" s="4"/>
      <c r="E179" s="5"/>
      <c r="F179" s="5"/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4"/>
      <c r="B180" s="4"/>
      <c r="C180" s="4"/>
      <c r="D180" s="4"/>
      <c r="E180" s="5"/>
      <c r="F180" s="5"/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4"/>
      <c r="B181" s="4"/>
      <c r="C181" s="4"/>
      <c r="D181" s="4"/>
      <c r="E181" s="5"/>
      <c r="F181" s="5"/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4"/>
      <c r="B182" s="4"/>
      <c r="C182" s="4"/>
      <c r="D182" s="4"/>
      <c r="E182" s="5"/>
      <c r="F182" s="5"/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4"/>
      <c r="B183" s="4"/>
      <c r="C183" s="4"/>
      <c r="D183" s="4"/>
      <c r="E183" s="5"/>
      <c r="F183" s="5"/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4"/>
      <c r="B184" s="4"/>
      <c r="C184" s="4"/>
      <c r="D184" s="4"/>
      <c r="E184" s="5"/>
      <c r="F184" s="5"/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4"/>
      <c r="B185" s="4"/>
      <c r="C185" s="4"/>
      <c r="D185" s="4"/>
      <c r="E185" s="5"/>
      <c r="F185" s="5"/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4"/>
      <c r="B186" s="4"/>
      <c r="C186" s="4"/>
      <c r="D186" s="4"/>
      <c r="E186" s="5"/>
      <c r="F186" s="5"/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4"/>
      <c r="B187" s="4"/>
      <c r="C187" s="4"/>
      <c r="D187" s="4"/>
      <c r="E187" s="5"/>
      <c r="F187" s="5"/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4"/>
      <c r="B188" s="4"/>
      <c r="C188" s="4"/>
      <c r="D188" s="4"/>
      <c r="E188" s="5"/>
      <c r="F188" s="5"/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4"/>
      <c r="B189" s="4"/>
      <c r="C189" s="4"/>
      <c r="D189" s="4"/>
      <c r="E189" s="5"/>
      <c r="F189" s="5"/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4"/>
      <c r="D190" s="4"/>
      <c r="E190" s="5"/>
      <c r="F190" s="5"/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4"/>
      <c r="D191" s="4"/>
      <c r="E191" s="5"/>
      <c r="F191" s="5"/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4"/>
      <c r="D192" s="4"/>
      <c r="E192" s="5"/>
      <c r="F192" s="5"/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4"/>
      <c r="D193" s="4"/>
      <c r="E193" s="5"/>
      <c r="F193" s="5"/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4"/>
      <c r="D194" s="4"/>
      <c r="E194" s="5"/>
      <c r="F194" s="5"/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4"/>
      <c r="D195" s="4"/>
      <c r="E195" s="5"/>
      <c r="F195" s="5"/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4"/>
      <c r="D196" s="4"/>
      <c r="E196" s="5"/>
      <c r="F196" s="5"/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4"/>
      <c r="D197" s="4"/>
      <c r="E197" s="5"/>
      <c r="F197" s="5"/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4"/>
      <c r="D198" s="4"/>
      <c r="E198" s="5"/>
      <c r="F198" s="5"/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4"/>
      <c r="D199" s="4"/>
      <c r="E199" s="5"/>
      <c r="F199" s="5"/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4"/>
      <c r="D200" s="4"/>
      <c r="E200" s="5"/>
      <c r="F200" s="5"/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4"/>
      <c r="D201" s="4"/>
      <c r="E201" s="5"/>
      <c r="F201" s="5"/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4"/>
      <c r="D202" s="4"/>
      <c r="E202" s="5"/>
      <c r="F202" s="5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4"/>
      <c r="D203" s="4"/>
      <c r="E203" s="5"/>
      <c r="F203" s="5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4"/>
      <c r="D204" s="4"/>
      <c r="E204" s="5"/>
      <c r="F204" s="5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4"/>
      <c r="D205" s="4"/>
      <c r="E205" s="5"/>
      <c r="F205" s="5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4"/>
      <c r="D206" s="4"/>
      <c r="E206" s="5"/>
      <c r="F206" s="5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4"/>
      <c r="D207" s="4"/>
      <c r="E207" s="5"/>
      <c r="F207" s="5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4"/>
      <c r="D208" s="4"/>
      <c r="E208" s="5"/>
      <c r="F208" s="5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4"/>
      <c r="D209" s="4"/>
      <c r="E209" s="5"/>
      <c r="F209" s="5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4"/>
      <c r="D210" s="4"/>
      <c r="E210" s="5"/>
      <c r="F210" s="5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4"/>
      <c r="D211" s="4"/>
      <c r="E211" s="5"/>
      <c r="F211" s="5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4"/>
      <c r="D212" s="4"/>
      <c r="E212" s="5"/>
      <c r="F212" s="5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4"/>
      <c r="D213" s="4"/>
      <c r="E213" s="5"/>
      <c r="F213" s="5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4"/>
      <c r="D214" s="4"/>
      <c r="E214" s="5"/>
      <c r="F214" s="5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4"/>
      <c r="D215" s="4"/>
      <c r="E215" s="5"/>
      <c r="F215" s="5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4"/>
      <c r="D216" s="4"/>
      <c r="E216" s="5"/>
      <c r="F216" s="5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4"/>
      <c r="D217" s="4"/>
      <c r="E217" s="5"/>
      <c r="F217" s="5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4"/>
      <c r="D218" s="4"/>
      <c r="E218" s="5"/>
      <c r="F218" s="5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4"/>
      <c r="D219" s="4"/>
      <c r="E219" s="5"/>
      <c r="F219" s="5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4"/>
      <c r="D220" s="4"/>
      <c r="E220" s="5"/>
      <c r="F220" s="5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4"/>
      <c r="D221" s="4"/>
      <c r="E221" s="5"/>
      <c r="F221" s="5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4"/>
      <c r="D222" s="4"/>
      <c r="E222" s="5"/>
      <c r="F222" s="5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4"/>
      <c r="D223" s="4"/>
      <c r="E223" s="5"/>
      <c r="F223" s="5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4"/>
      <c r="D224" s="4"/>
      <c r="E224" s="5"/>
      <c r="F224" s="5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4"/>
      <c r="D225" s="4"/>
      <c r="E225" s="5"/>
      <c r="F225" s="5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4"/>
      <c r="D226" s="4"/>
      <c r="E226" s="5"/>
      <c r="F226" s="5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4"/>
      <c r="D227" s="4"/>
      <c r="E227" s="5"/>
      <c r="F227" s="5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4"/>
      <c r="D228" s="4"/>
      <c r="E228" s="5"/>
      <c r="F228" s="5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4"/>
      <c r="D229" s="4"/>
      <c r="E229" s="5"/>
      <c r="F229" s="5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4"/>
      <c r="D230" s="4"/>
      <c r="E230" s="5"/>
      <c r="F230" s="5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4"/>
      <c r="D231" s="4"/>
      <c r="E231" s="5"/>
      <c r="F231" s="5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4"/>
      <c r="D232" s="4"/>
      <c r="E232" s="5"/>
      <c r="F232" s="5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4"/>
      <c r="D233" s="4"/>
      <c r="E233" s="5"/>
      <c r="F233" s="5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4"/>
      <c r="D234" s="4"/>
      <c r="E234" s="5"/>
      <c r="F234" s="5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4"/>
      <c r="D235" s="4"/>
      <c r="E235" s="5"/>
      <c r="F235" s="5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4"/>
      <c r="D236" s="4"/>
      <c r="E236" s="5"/>
      <c r="F236" s="5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4"/>
      <c r="D237" s="4"/>
      <c r="E237" s="5"/>
      <c r="F237" s="5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4"/>
      <c r="D238" s="4"/>
      <c r="E238" s="5"/>
      <c r="F238" s="5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4"/>
      <c r="D239" s="4"/>
      <c r="E239" s="5"/>
      <c r="F239" s="5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4"/>
      <c r="D240" s="4"/>
      <c r="E240" s="5"/>
      <c r="F240" s="5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4"/>
      <c r="D241" s="4"/>
      <c r="E241" s="5"/>
      <c r="F241" s="5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4"/>
      <c r="D242" s="4"/>
      <c r="E242" s="5"/>
      <c r="F242" s="5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4"/>
      <c r="D243" s="4"/>
      <c r="E243" s="5"/>
      <c r="F243" s="5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4"/>
      <c r="D244" s="4"/>
      <c r="E244" s="5"/>
      <c r="F244" s="5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4"/>
      <c r="D245" s="4"/>
      <c r="E245" s="5"/>
      <c r="F245" s="5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4"/>
      <c r="D246" s="4"/>
      <c r="E246" s="5"/>
      <c r="F246" s="5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4"/>
      <c r="D247" s="4"/>
      <c r="E247" s="5"/>
      <c r="F247" s="5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4"/>
      <c r="D248" s="4"/>
      <c r="E248" s="5"/>
      <c r="F248" s="5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4"/>
      <c r="D249" s="4"/>
      <c r="E249" s="5"/>
      <c r="F249" s="5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4"/>
      <c r="D250" s="4"/>
      <c r="E250" s="5"/>
      <c r="F250" s="5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4"/>
      <c r="D251" s="4"/>
      <c r="E251" s="5"/>
      <c r="F251" s="5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4"/>
      <c r="D252" s="4"/>
      <c r="E252" s="5"/>
      <c r="F252" s="5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4"/>
      <c r="D253" s="4"/>
      <c r="E253" s="5"/>
      <c r="F253" s="5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4"/>
      <c r="D254" s="4"/>
      <c r="E254" s="5"/>
      <c r="F254" s="5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4"/>
      <c r="D255" s="4"/>
      <c r="E255" s="5"/>
      <c r="F255" s="5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4"/>
      <c r="D256" s="4"/>
      <c r="E256" s="5"/>
      <c r="F256" s="5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4"/>
      <c r="D257" s="4"/>
      <c r="E257" s="5"/>
      <c r="F257" s="5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4"/>
      <c r="D258" s="4"/>
      <c r="E258" s="5"/>
      <c r="F258" s="5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4"/>
      <c r="D259" s="4"/>
      <c r="E259" s="5"/>
      <c r="F259" s="5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4"/>
      <c r="D260" s="4"/>
      <c r="E260" s="5"/>
      <c r="F260" s="5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4"/>
      <c r="D261" s="4"/>
      <c r="E261" s="5"/>
      <c r="F261" s="5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4"/>
      <c r="D262" s="4"/>
      <c r="E262" s="5"/>
      <c r="F262" s="5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4"/>
      <c r="D263" s="4"/>
      <c r="E263" s="5"/>
      <c r="F263" s="5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4"/>
      <c r="D264" s="4"/>
      <c r="E264" s="5"/>
      <c r="F264" s="5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4"/>
      <c r="D265" s="4"/>
      <c r="E265" s="5"/>
      <c r="F265" s="5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4"/>
      <c r="D266" s="4"/>
      <c r="E266" s="5"/>
      <c r="F266" s="5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4"/>
      <c r="D267" s="4"/>
      <c r="E267" s="5"/>
      <c r="F267" s="5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4"/>
      <c r="D268" s="4"/>
      <c r="E268" s="5"/>
      <c r="F268" s="5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4"/>
      <c r="D269" s="4"/>
      <c r="E269" s="5"/>
      <c r="F269" s="5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4"/>
      <c r="D270" s="4"/>
      <c r="E270" s="5"/>
      <c r="F270" s="5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4"/>
      <c r="D271" s="4"/>
      <c r="E271" s="5"/>
      <c r="F271" s="5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4"/>
      <c r="D272" s="4"/>
      <c r="E272" s="5"/>
      <c r="F272" s="5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4"/>
      <c r="D273" s="4"/>
      <c r="E273" s="5"/>
      <c r="F273" s="5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4"/>
      <c r="D274" s="4"/>
      <c r="E274" s="5"/>
      <c r="F274" s="5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4"/>
      <c r="D275" s="4"/>
      <c r="E275" s="5"/>
      <c r="F275" s="5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4"/>
      <c r="D276" s="4"/>
      <c r="E276" s="5"/>
      <c r="F276" s="5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4"/>
      <c r="D277" s="4"/>
      <c r="E277" s="5"/>
      <c r="F277" s="5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4"/>
      <c r="D278" s="4"/>
      <c r="E278" s="5"/>
      <c r="F278" s="5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4"/>
      <c r="D279" s="4"/>
      <c r="E279" s="5"/>
      <c r="F279" s="5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4"/>
      <c r="D280" s="4"/>
      <c r="E280" s="5"/>
      <c r="F280" s="5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4"/>
      <c r="D281" s="4"/>
      <c r="E281" s="5"/>
      <c r="F281" s="5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4"/>
      <c r="D282" s="4"/>
      <c r="E282" s="5"/>
      <c r="F282" s="5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4"/>
      <c r="D283" s="4"/>
      <c r="E283" s="5"/>
      <c r="F283" s="5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4"/>
      <c r="D284" s="4"/>
      <c r="E284" s="5"/>
      <c r="F284" s="5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4"/>
      <c r="D285" s="4"/>
      <c r="E285" s="5"/>
      <c r="F285" s="5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4"/>
      <c r="D286" s="4"/>
      <c r="E286" s="5"/>
      <c r="F286" s="5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4"/>
      <c r="D287" s="4"/>
      <c r="E287" s="5"/>
      <c r="F287" s="5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4"/>
      <c r="D288" s="4"/>
      <c r="E288" s="5"/>
      <c r="F288" s="5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4"/>
      <c r="D289" s="4"/>
      <c r="E289" s="5"/>
      <c r="F289" s="5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4"/>
      <c r="D290" s="4"/>
      <c r="E290" s="5"/>
      <c r="F290" s="5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4"/>
      <c r="D291" s="4"/>
      <c r="E291" s="5"/>
      <c r="F291" s="5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4"/>
      <c r="D292" s="4"/>
      <c r="E292" s="5"/>
      <c r="F292" s="5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4"/>
      <c r="D293" s="4"/>
      <c r="E293" s="5"/>
      <c r="F293" s="5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4"/>
      <c r="D294" s="4"/>
      <c r="E294" s="5"/>
      <c r="F294" s="5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4"/>
      <c r="D295" s="4"/>
      <c r="E295" s="5"/>
      <c r="F295" s="5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4"/>
      <c r="D296" s="4"/>
      <c r="E296" s="5"/>
      <c r="F296" s="5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4"/>
      <c r="D297" s="4"/>
      <c r="E297" s="5"/>
      <c r="F297" s="5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4"/>
      <c r="D298" s="4"/>
      <c r="E298" s="5"/>
      <c r="F298" s="5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4"/>
      <c r="D299" s="4"/>
      <c r="E299" s="5"/>
      <c r="F299" s="5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4"/>
      <c r="D300" s="4"/>
      <c r="E300" s="5"/>
      <c r="F300" s="5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4"/>
      <c r="D301" s="4"/>
      <c r="E301" s="5"/>
      <c r="F301" s="5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4"/>
      <c r="D302" s="4"/>
      <c r="E302" s="5"/>
      <c r="F302" s="5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4"/>
      <c r="D303" s="4"/>
      <c r="E303" s="5"/>
      <c r="F303" s="5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4"/>
      <c r="D304" s="4"/>
      <c r="E304" s="5"/>
      <c r="F304" s="5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4"/>
      <c r="D305" s="4"/>
      <c r="E305" s="5"/>
      <c r="F305" s="5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4"/>
      <c r="D306" s="4"/>
      <c r="E306" s="5"/>
      <c r="F306" s="5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4"/>
      <c r="D307" s="4"/>
      <c r="E307" s="5"/>
      <c r="F307" s="5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4"/>
      <c r="D308" s="4"/>
      <c r="E308" s="5"/>
      <c r="F308" s="5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4"/>
      <c r="D309" s="4"/>
      <c r="E309" s="5"/>
      <c r="F309" s="5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4"/>
      <c r="D310" s="4"/>
      <c r="E310" s="5"/>
      <c r="F310" s="5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4"/>
      <c r="D311" s="4"/>
      <c r="E311" s="5"/>
      <c r="F311" s="5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4"/>
      <c r="D312" s="4"/>
      <c r="E312" s="5"/>
      <c r="F312" s="5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4"/>
      <c r="D313" s="4"/>
      <c r="E313" s="5"/>
      <c r="F313" s="5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4"/>
      <c r="D314" s="4"/>
      <c r="E314" s="5"/>
      <c r="F314" s="5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4"/>
      <c r="D315" s="4"/>
      <c r="E315" s="5"/>
      <c r="F315" s="5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4"/>
      <c r="D316" s="4"/>
      <c r="E316" s="5"/>
      <c r="F316" s="5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4"/>
      <c r="D317" s="4"/>
      <c r="E317" s="5"/>
      <c r="F317" s="5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4"/>
      <c r="D318" s="4"/>
      <c r="E318" s="5"/>
      <c r="F318" s="5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4"/>
      <c r="D319" s="4"/>
      <c r="E319" s="5"/>
      <c r="F319" s="5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4"/>
      <c r="D320" s="4"/>
      <c r="E320" s="5"/>
      <c r="F320" s="5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4"/>
      <c r="D321" s="4"/>
      <c r="E321" s="5"/>
      <c r="F321" s="5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4"/>
      <c r="D322" s="4"/>
      <c r="E322" s="5"/>
      <c r="F322" s="5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4"/>
      <c r="D323" s="4"/>
      <c r="E323" s="5"/>
      <c r="F323" s="5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4"/>
      <c r="D324" s="4"/>
      <c r="E324" s="5"/>
      <c r="F324" s="5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4"/>
      <c r="D325" s="4"/>
      <c r="E325" s="5"/>
      <c r="F325" s="5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4"/>
      <c r="D326" s="4"/>
      <c r="E326" s="5"/>
      <c r="F326" s="5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4"/>
      <c r="D327" s="4"/>
      <c r="E327" s="5"/>
      <c r="F327" s="5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4"/>
      <c r="D328" s="4"/>
      <c r="E328" s="5"/>
      <c r="F328" s="5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4"/>
      <c r="D329" s="4"/>
      <c r="E329" s="5"/>
      <c r="F329" s="5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4"/>
      <c r="D330" s="4"/>
      <c r="E330" s="5"/>
      <c r="F330" s="5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4"/>
      <c r="D331" s="4"/>
      <c r="E331" s="5"/>
      <c r="F331" s="5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4"/>
      <c r="D332" s="4"/>
      <c r="E332" s="5"/>
      <c r="F332" s="5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4"/>
      <c r="D333" s="4"/>
      <c r="E333" s="5"/>
      <c r="F333" s="5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4"/>
      <c r="D334" s="4"/>
      <c r="E334" s="5"/>
      <c r="F334" s="5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4"/>
      <c r="D335" s="4"/>
      <c r="E335" s="5"/>
      <c r="F335" s="5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4"/>
      <c r="D336" s="4"/>
      <c r="E336" s="5"/>
      <c r="F336" s="5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4"/>
      <c r="D337" s="4"/>
      <c r="E337" s="5"/>
      <c r="F337" s="5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4"/>
      <c r="D338" s="4"/>
      <c r="E338" s="5"/>
      <c r="F338" s="5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4"/>
      <c r="D339" s="4"/>
      <c r="E339" s="5"/>
      <c r="F339" s="5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4"/>
      <c r="D340" s="4"/>
      <c r="E340" s="5"/>
      <c r="F340" s="5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4"/>
      <c r="D341" s="4"/>
      <c r="E341" s="5"/>
      <c r="F341" s="5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4"/>
      <c r="D342" s="4"/>
      <c r="E342" s="5"/>
      <c r="F342" s="5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4"/>
      <c r="D343" s="4"/>
      <c r="E343" s="5"/>
      <c r="F343" s="5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4"/>
      <c r="D344" s="4"/>
      <c r="E344" s="5"/>
      <c r="F344" s="5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4"/>
      <c r="D345" s="4"/>
      <c r="E345" s="5"/>
      <c r="F345" s="5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4"/>
      <c r="D346" s="4"/>
      <c r="E346" s="5"/>
      <c r="F346" s="5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4"/>
      <c r="D347" s="4"/>
      <c r="E347" s="5"/>
      <c r="F347" s="5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4"/>
      <c r="D348" s="4"/>
      <c r="E348" s="5"/>
      <c r="F348" s="5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4"/>
      <c r="D349" s="4"/>
      <c r="E349" s="5"/>
      <c r="F349" s="5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4"/>
      <c r="D350" s="4"/>
      <c r="E350" s="5"/>
      <c r="F350" s="5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4"/>
      <c r="D351" s="4"/>
      <c r="E351" s="5"/>
      <c r="F351" s="5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4"/>
      <c r="D352" s="4"/>
      <c r="E352" s="5"/>
      <c r="F352" s="5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4"/>
      <c r="D353" s="4"/>
      <c r="E353" s="5"/>
      <c r="F353" s="5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4"/>
      <c r="D354" s="4"/>
      <c r="E354" s="5"/>
      <c r="F354" s="5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4"/>
      <c r="D355" s="4"/>
      <c r="E355" s="5"/>
      <c r="F355" s="5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4"/>
      <c r="D356" s="4"/>
      <c r="E356" s="5"/>
      <c r="F356" s="5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4"/>
      <c r="D357" s="4"/>
      <c r="E357" s="5"/>
      <c r="F357" s="5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4"/>
      <c r="D358" s="4"/>
      <c r="E358" s="5"/>
      <c r="F358" s="5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4"/>
      <c r="D359" s="4"/>
      <c r="E359" s="5"/>
      <c r="F359" s="5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4"/>
      <c r="D360" s="4"/>
      <c r="E360" s="5"/>
      <c r="F360" s="5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4"/>
      <c r="D361" s="4"/>
      <c r="E361" s="5"/>
      <c r="F361" s="5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4"/>
      <c r="D362" s="4"/>
      <c r="E362" s="5"/>
      <c r="F362" s="5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4"/>
      <c r="D363" s="4"/>
      <c r="E363" s="5"/>
      <c r="F363" s="5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4"/>
      <c r="D364" s="4"/>
      <c r="E364" s="5"/>
      <c r="F364" s="5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4"/>
      <c r="D365" s="4"/>
      <c r="E365" s="5"/>
      <c r="F365" s="5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4"/>
      <c r="D366" s="4"/>
      <c r="E366" s="5"/>
      <c r="F366" s="5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4"/>
      <c r="D367" s="4"/>
      <c r="E367" s="5"/>
      <c r="F367" s="5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4"/>
      <c r="D368" s="4"/>
      <c r="E368" s="5"/>
      <c r="F368" s="5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4"/>
      <c r="D369" s="4"/>
      <c r="E369" s="5"/>
      <c r="F369" s="5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4"/>
      <c r="D370" s="4"/>
      <c r="E370" s="5"/>
      <c r="F370" s="5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4"/>
      <c r="D371" s="4"/>
      <c r="E371" s="5"/>
      <c r="F371" s="5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4"/>
      <c r="D372" s="4"/>
      <c r="E372" s="5"/>
      <c r="F372" s="5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4"/>
      <c r="D373" s="4"/>
      <c r="E373" s="5"/>
      <c r="F373" s="5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4"/>
      <c r="D374" s="4"/>
      <c r="E374" s="5"/>
      <c r="F374" s="5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4"/>
      <c r="D375" s="4"/>
      <c r="E375" s="5"/>
      <c r="F375" s="5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4"/>
      <c r="D376" s="4"/>
      <c r="E376" s="5"/>
      <c r="F376" s="5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4"/>
      <c r="D377" s="4"/>
      <c r="E377" s="5"/>
      <c r="F377" s="5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4"/>
      <c r="D378" s="4"/>
      <c r="E378" s="5"/>
      <c r="F378" s="5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4"/>
      <c r="D379" s="4"/>
      <c r="E379" s="5"/>
      <c r="F379" s="5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4"/>
      <c r="D380" s="4"/>
      <c r="E380" s="5"/>
      <c r="F380" s="5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4"/>
      <c r="D381" s="4"/>
      <c r="E381" s="5"/>
      <c r="F381" s="5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4"/>
      <c r="D382" s="4"/>
      <c r="E382" s="5"/>
      <c r="F382" s="5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4"/>
      <c r="D383" s="4"/>
      <c r="E383" s="5"/>
      <c r="F383" s="5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4"/>
      <c r="D384" s="4"/>
      <c r="E384" s="5"/>
      <c r="F384" s="5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4"/>
      <c r="D385" s="4"/>
      <c r="E385" s="5"/>
      <c r="F385" s="5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4"/>
      <c r="D386" s="4"/>
      <c r="E386" s="5"/>
      <c r="F386" s="5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4"/>
      <c r="D387" s="4"/>
      <c r="E387" s="5"/>
      <c r="F387" s="5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4"/>
      <c r="D388" s="4"/>
      <c r="E388" s="5"/>
      <c r="F388" s="5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4"/>
      <c r="D389" s="4"/>
      <c r="E389" s="5"/>
      <c r="F389" s="5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4"/>
      <c r="D390" s="4"/>
      <c r="E390" s="5"/>
      <c r="F390" s="5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4"/>
      <c r="D391" s="4"/>
      <c r="E391" s="5"/>
      <c r="F391" s="5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4"/>
      <c r="D392" s="4"/>
      <c r="E392" s="5"/>
      <c r="F392" s="5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4"/>
      <c r="D393" s="4"/>
      <c r="E393" s="5"/>
      <c r="F393" s="5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4"/>
      <c r="D394" s="4"/>
      <c r="E394" s="5"/>
      <c r="F394" s="5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4"/>
      <c r="D395" s="4"/>
      <c r="E395" s="5"/>
      <c r="F395" s="5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4"/>
      <c r="D396" s="4"/>
      <c r="E396" s="5"/>
      <c r="F396" s="5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4"/>
      <c r="D397" s="4"/>
      <c r="E397" s="5"/>
      <c r="F397" s="5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4"/>
      <c r="D398" s="4"/>
      <c r="E398" s="5"/>
      <c r="F398" s="5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4"/>
      <c r="D399" s="4"/>
      <c r="E399" s="5"/>
      <c r="F399" s="5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4"/>
      <c r="D400" s="4"/>
      <c r="E400" s="5"/>
      <c r="F400" s="5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4"/>
      <c r="D401" s="4"/>
      <c r="E401" s="5"/>
      <c r="F401" s="5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4"/>
      <c r="D402" s="4"/>
      <c r="E402" s="5"/>
      <c r="F402" s="5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4"/>
      <c r="D403" s="4"/>
      <c r="E403" s="5"/>
      <c r="F403" s="5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4"/>
      <c r="D404" s="4"/>
      <c r="E404" s="5"/>
      <c r="F404" s="5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4"/>
      <c r="D405" s="4"/>
      <c r="E405" s="5"/>
      <c r="F405" s="5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4"/>
      <c r="D406" s="4"/>
      <c r="E406" s="5"/>
      <c r="F406" s="5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4"/>
      <c r="D407" s="4"/>
      <c r="E407" s="5"/>
      <c r="F407" s="5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4"/>
      <c r="D408" s="4"/>
      <c r="E408" s="5"/>
      <c r="F408" s="5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4"/>
      <c r="D409" s="4"/>
      <c r="E409" s="5"/>
      <c r="F409" s="5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4"/>
      <c r="D410" s="4"/>
      <c r="E410" s="5"/>
      <c r="F410" s="5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4"/>
      <c r="D411" s="4"/>
      <c r="E411" s="5"/>
      <c r="F411" s="5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4"/>
      <c r="D412" s="4"/>
      <c r="E412" s="5"/>
      <c r="F412" s="5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4"/>
      <c r="D413" s="4"/>
      <c r="E413" s="5"/>
      <c r="F413" s="5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4"/>
      <c r="D414" s="4"/>
      <c r="E414" s="5"/>
      <c r="F414" s="5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4"/>
      <c r="D415" s="4"/>
      <c r="E415" s="5"/>
      <c r="F415" s="5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4"/>
      <c r="D416" s="4"/>
      <c r="E416" s="5"/>
      <c r="F416" s="5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4"/>
      <c r="D417" s="4"/>
      <c r="E417" s="5"/>
      <c r="F417" s="5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4"/>
      <c r="D418" s="4"/>
      <c r="E418" s="5"/>
      <c r="F418" s="5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4"/>
      <c r="D419" s="4"/>
      <c r="E419" s="5"/>
      <c r="F419" s="5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4"/>
      <c r="D420" s="4"/>
      <c r="E420" s="5"/>
      <c r="F420" s="5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4"/>
      <c r="D421" s="4"/>
      <c r="E421" s="5"/>
      <c r="F421" s="5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4"/>
      <c r="D422" s="4"/>
      <c r="E422" s="5"/>
      <c r="F422" s="5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4"/>
      <c r="D423" s="4"/>
      <c r="E423" s="5"/>
      <c r="F423" s="5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4"/>
      <c r="D424" s="4"/>
      <c r="E424" s="5"/>
      <c r="F424" s="5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4"/>
      <c r="D425" s="4"/>
      <c r="E425" s="5"/>
      <c r="F425" s="5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4"/>
      <c r="D426" s="4"/>
      <c r="E426" s="5"/>
      <c r="F426" s="5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4"/>
      <c r="D427" s="4"/>
      <c r="E427" s="5"/>
      <c r="F427" s="5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4"/>
      <c r="D428" s="4"/>
      <c r="E428" s="5"/>
      <c r="F428" s="5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4"/>
      <c r="D429" s="4"/>
      <c r="E429" s="5"/>
      <c r="F429" s="5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4"/>
      <c r="D430" s="4"/>
      <c r="E430" s="5"/>
      <c r="F430" s="5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4"/>
      <c r="D431" s="4"/>
      <c r="E431" s="5"/>
      <c r="F431" s="5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4"/>
      <c r="D432" s="4"/>
      <c r="E432" s="5"/>
      <c r="F432" s="5"/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4"/>
      <c r="D433" s="4"/>
      <c r="E433" s="5"/>
      <c r="F433" s="5"/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4"/>
      <c r="D434" s="4"/>
      <c r="E434" s="5"/>
      <c r="F434" s="5"/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4"/>
      <c r="D435" s="4"/>
      <c r="E435" s="5"/>
      <c r="F435" s="5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4"/>
      <c r="D436" s="4"/>
      <c r="E436" s="5"/>
      <c r="F436" s="5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4"/>
      <c r="D437" s="4"/>
      <c r="E437" s="5"/>
      <c r="F437" s="5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4"/>
      <c r="D438" s="4"/>
      <c r="E438" s="5"/>
      <c r="F438" s="5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4"/>
      <c r="D439" s="4"/>
      <c r="E439" s="5"/>
      <c r="F439" s="5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4"/>
      <c r="D440" s="4"/>
      <c r="E440" s="5"/>
      <c r="F440" s="5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4"/>
      <c r="D441" s="4"/>
      <c r="E441" s="5"/>
      <c r="F441" s="5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4"/>
      <c r="D442" s="4"/>
      <c r="E442" s="5"/>
      <c r="F442" s="5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4"/>
      <c r="D443" s="4"/>
      <c r="E443" s="5"/>
      <c r="F443" s="5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4"/>
      <c r="D444" s="4"/>
      <c r="E444" s="5"/>
      <c r="F444" s="5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4"/>
      <c r="D445" s="4"/>
      <c r="E445" s="5"/>
      <c r="F445" s="5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4"/>
      <c r="D446" s="4"/>
      <c r="E446" s="5"/>
      <c r="F446" s="5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4"/>
      <c r="D447" s="4"/>
      <c r="E447" s="5"/>
      <c r="F447" s="5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4"/>
      <c r="D448" s="4"/>
      <c r="E448" s="5"/>
      <c r="F448" s="5"/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4"/>
      <c r="D449" s="4"/>
      <c r="E449" s="5"/>
      <c r="F449" s="5"/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4"/>
      <c r="D450" s="4"/>
      <c r="E450" s="5"/>
      <c r="F450" s="5"/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4"/>
      <c r="D451" s="4"/>
      <c r="E451" s="5"/>
      <c r="F451" s="5"/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4"/>
      <c r="D452" s="4"/>
      <c r="E452" s="5"/>
      <c r="F452" s="5"/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4"/>
      <c r="D453" s="4"/>
      <c r="E453" s="5"/>
      <c r="F453" s="5"/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4"/>
      <c r="D454" s="4"/>
      <c r="E454" s="5"/>
      <c r="F454" s="5"/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4"/>
      <c r="D455" s="4"/>
      <c r="E455" s="5"/>
      <c r="F455" s="5"/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4"/>
      <c r="D456" s="4"/>
      <c r="E456" s="5"/>
      <c r="F456" s="5"/>
      <c r="G456" s="4"/>
      <c r="H456" s="4"/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4"/>
      <c r="D457" s="4"/>
      <c r="E457" s="5"/>
      <c r="F457" s="5"/>
      <c r="G457" s="4"/>
      <c r="H457" s="4"/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4"/>
      <c r="D458" s="4"/>
      <c r="E458" s="5"/>
      <c r="F458" s="5"/>
      <c r="G458" s="4"/>
      <c r="H458" s="4"/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4"/>
      <c r="D459" s="4"/>
      <c r="E459" s="5"/>
      <c r="F459" s="5"/>
      <c r="G459" s="4"/>
      <c r="H459" s="4"/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4"/>
      <c r="D460" s="4"/>
      <c r="E460" s="5"/>
      <c r="F460" s="5"/>
      <c r="G460" s="4"/>
      <c r="H460" s="4"/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4"/>
      <c r="D461" s="4"/>
      <c r="E461" s="5"/>
      <c r="F461" s="5"/>
      <c r="G461" s="4"/>
      <c r="H461" s="4"/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4"/>
      <c r="D462" s="4"/>
      <c r="E462" s="5"/>
      <c r="F462" s="5"/>
      <c r="G462" s="4"/>
      <c r="H462" s="4"/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4"/>
      <c r="D463" s="4"/>
      <c r="E463" s="5"/>
      <c r="F463" s="5"/>
      <c r="G463" s="4"/>
      <c r="H463" s="4"/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4"/>
      <c r="D464" s="4"/>
      <c r="E464" s="5"/>
      <c r="F464" s="5"/>
      <c r="G464" s="4"/>
      <c r="H464" s="4"/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4"/>
      <c r="D465" s="4"/>
      <c r="E465" s="5"/>
      <c r="F465" s="5"/>
      <c r="G465" s="4"/>
      <c r="H465" s="4"/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4"/>
      <c r="D466" s="4"/>
      <c r="E466" s="5"/>
      <c r="F466" s="5"/>
      <c r="G466" s="4"/>
      <c r="H466" s="4"/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4"/>
      <c r="D467" s="4"/>
      <c r="E467" s="5"/>
      <c r="F467" s="5"/>
      <c r="G467" s="4"/>
      <c r="H467" s="4"/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4"/>
      <c r="D468" s="4"/>
      <c r="E468" s="5"/>
      <c r="F468" s="5"/>
      <c r="G468" s="4"/>
      <c r="H468" s="4"/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4"/>
      <c r="D469" s="4"/>
      <c r="E469" s="5"/>
      <c r="F469" s="5"/>
      <c r="G469" s="4"/>
      <c r="H469" s="4"/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4"/>
      <c r="D470" s="4"/>
      <c r="E470" s="5"/>
      <c r="F470" s="5"/>
      <c r="G470" s="4"/>
      <c r="H470" s="4"/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4"/>
      <c r="D471" s="4"/>
      <c r="E471" s="5"/>
      <c r="F471" s="5"/>
      <c r="G471" s="4"/>
      <c r="H471" s="4"/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4"/>
      <c r="D472" s="4"/>
      <c r="E472" s="5"/>
      <c r="F472" s="5"/>
      <c r="G472" s="4"/>
      <c r="H472" s="4"/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4"/>
      <c r="D473" s="4"/>
      <c r="E473" s="5"/>
      <c r="F473" s="5"/>
      <c r="G473" s="4"/>
      <c r="H473" s="4"/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4"/>
      <c r="D474" s="4"/>
      <c r="E474" s="5"/>
      <c r="F474" s="5"/>
      <c r="G474" s="4"/>
      <c r="H474" s="4"/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4"/>
      <c r="D475" s="4"/>
      <c r="E475" s="5"/>
      <c r="F475" s="5"/>
      <c r="G475" s="4"/>
      <c r="H475" s="4"/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4"/>
      <c r="D476" s="4"/>
      <c r="E476" s="5"/>
      <c r="F476" s="5"/>
      <c r="G476" s="4"/>
      <c r="H476" s="4"/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4"/>
      <c r="D477" s="4"/>
      <c r="E477" s="5"/>
      <c r="F477" s="5"/>
      <c r="G477" s="4"/>
      <c r="H477" s="4"/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4"/>
      <c r="D478" s="4"/>
      <c r="E478" s="5"/>
      <c r="F478" s="5"/>
      <c r="G478" s="4"/>
      <c r="H478" s="4"/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4"/>
      <c r="D479" s="4"/>
      <c r="E479" s="5"/>
      <c r="F479" s="5"/>
      <c r="G479" s="4"/>
      <c r="H479" s="4"/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4"/>
      <c r="D480" s="4"/>
      <c r="E480" s="5"/>
      <c r="F480" s="5"/>
      <c r="G480" s="4"/>
      <c r="H480" s="4"/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4"/>
      <c r="D481" s="4"/>
      <c r="E481" s="5"/>
      <c r="F481" s="5"/>
      <c r="G481" s="4"/>
      <c r="H481" s="4"/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4"/>
      <c r="D482" s="4"/>
      <c r="E482" s="5"/>
      <c r="F482" s="5"/>
      <c r="G482" s="4"/>
      <c r="H482" s="4"/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4"/>
      <c r="D483" s="4"/>
      <c r="E483" s="5"/>
      <c r="F483" s="5"/>
      <c r="G483" s="4"/>
      <c r="H483" s="4"/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4"/>
      <c r="D484" s="4"/>
      <c r="E484" s="5"/>
      <c r="F484" s="5"/>
      <c r="G484" s="4"/>
      <c r="H484" s="4"/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4"/>
      <c r="D485" s="4"/>
      <c r="E485" s="5"/>
      <c r="F485" s="5"/>
      <c r="G485" s="4"/>
      <c r="H485" s="4"/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4"/>
      <c r="D486" s="4"/>
      <c r="E486" s="5"/>
      <c r="F486" s="5"/>
      <c r="G486" s="4"/>
      <c r="H486" s="4"/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4"/>
      <c r="D487" s="4"/>
      <c r="E487" s="5"/>
      <c r="F487" s="5"/>
      <c r="G487" s="4"/>
      <c r="H487" s="4"/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4"/>
      <c r="D488" s="4"/>
      <c r="E488" s="5"/>
      <c r="F488" s="5"/>
      <c r="G488" s="4"/>
      <c r="H488" s="4"/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4"/>
      <c r="D489" s="4"/>
      <c r="E489" s="5"/>
      <c r="F489" s="5"/>
      <c r="G489" s="4"/>
      <c r="H489" s="4"/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4"/>
      <c r="D490" s="4"/>
      <c r="E490" s="5"/>
      <c r="F490" s="5"/>
      <c r="G490" s="4"/>
      <c r="H490" s="4"/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4"/>
      <c r="D491" s="4"/>
      <c r="E491" s="5"/>
      <c r="F491" s="5"/>
      <c r="G491" s="4"/>
      <c r="H491" s="4"/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4"/>
      <c r="D492" s="4"/>
      <c r="E492" s="5"/>
      <c r="F492" s="5"/>
      <c r="G492" s="4"/>
      <c r="H492" s="4"/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4"/>
      <c r="D493" s="4"/>
      <c r="E493" s="5"/>
      <c r="F493" s="5"/>
      <c r="G493" s="4"/>
      <c r="H493" s="4"/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4"/>
      <c r="D494" s="4"/>
      <c r="E494" s="5"/>
      <c r="F494" s="5"/>
      <c r="G494" s="4"/>
      <c r="H494" s="4"/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4"/>
      <c r="D495" s="4"/>
      <c r="E495" s="5"/>
      <c r="F495" s="5"/>
      <c r="G495" s="4"/>
      <c r="H495" s="4"/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4"/>
      <c r="D496" s="4"/>
      <c r="E496" s="5"/>
      <c r="F496" s="5"/>
      <c r="G496" s="4"/>
      <c r="H496" s="4"/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4"/>
      <c r="D497" s="4"/>
      <c r="E497" s="5"/>
      <c r="F497" s="5"/>
      <c r="G497" s="4"/>
      <c r="H497" s="4"/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4"/>
      <c r="D498" s="4"/>
      <c r="E498" s="5"/>
      <c r="F498" s="5"/>
      <c r="G498" s="4"/>
      <c r="H498" s="4"/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4"/>
      <c r="D499" s="4"/>
      <c r="E499" s="5"/>
      <c r="F499" s="5"/>
      <c r="G499" s="4"/>
      <c r="H499" s="4"/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4"/>
      <c r="D500" s="4"/>
      <c r="E500" s="5"/>
      <c r="F500" s="5"/>
      <c r="G500" s="4"/>
      <c r="H500" s="4"/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4"/>
      <c r="D501" s="4"/>
      <c r="E501" s="5"/>
      <c r="F501" s="5"/>
      <c r="G501" s="4"/>
      <c r="H501" s="4"/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4"/>
      <c r="D502" s="4"/>
      <c r="E502" s="5"/>
      <c r="F502" s="5"/>
      <c r="G502" s="4"/>
      <c r="H502" s="4"/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4"/>
      <c r="D503" s="4"/>
      <c r="E503" s="5"/>
      <c r="F503" s="5"/>
      <c r="G503" s="4"/>
      <c r="H503" s="4"/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4"/>
      <c r="D504" s="4"/>
      <c r="E504" s="5"/>
      <c r="F504" s="5"/>
      <c r="G504" s="4"/>
      <c r="H504" s="4"/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4"/>
      <c r="D505" s="4"/>
      <c r="E505" s="5"/>
      <c r="F505" s="5"/>
      <c r="G505" s="4"/>
      <c r="H505" s="4"/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4"/>
      <c r="D506" s="4"/>
      <c r="E506" s="5"/>
      <c r="F506" s="5"/>
      <c r="G506" s="4"/>
      <c r="H506" s="4"/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4"/>
      <c r="D507" s="4"/>
      <c r="E507" s="5"/>
      <c r="F507" s="5"/>
      <c r="G507" s="4"/>
      <c r="H507" s="4"/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4"/>
      <c r="D508" s="4"/>
      <c r="E508" s="5"/>
      <c r="F508" s="5"/>
      <c r="G508" s="4"/>
      <c r="H508" s="4"/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4"/>
      <c r="D509" s="4"/>
      <c r="E509" s="5"/>
      <c r="F509" s="5"/>
      <c r="G509" s="4"/>
      <c r="H509" s="4"/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4"/>
      <c r="D510" s="4"/>
      <c r="E510" s="5"/>
      <c r="F510" s="5"/>
      <c r="G510" s="4"/>
      <c r="H510" s="4"/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4"/>
      <c r="D511" s="4"/>
      <c r="E511" s="5"/>
      <c r="F511" s="5"/>
      <c r="G511" s="4"/>
      <c r="H511" s="4"/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4"/>
      <c r="D512" s="4"/>
      <c r="E512" s="5"/>
      <c r="F512" s="5"/>
      <c r="G512" s="4"/>
      <c r="H512" s="4"/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4"/>
      <c r="D513" s="4"/>
      <c r="E513" s="5"/>
      <c r="F513" s="5"/>
      <c r="G513" s="4"/>
      <c r="H513" s="4"/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4"/>
      <c r="D514" s="4"/>
      <c r="E514" s="5"/>
      <c r="F514" s="5"/>
      <c r="G514" s="4"/>
      <c r="H514" s="4"/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4"/>
      <c r="D515" s="4"/>
      <c r="E515" s="5"/>
      <c r="F515" s="5"/>
      <c r="G515" s="4"/>
      <c r="H515" s="4"/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4"/>
      <c r="D516" s="4"/>
      <c r="E516" s="5"/>
      <c r="F516" s="5"/>
      <c r="G516" s="4"/>
      <c r="H516" s="4"/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4"/>
      <c r="D517" s="4"/>
      <c r="E517" s="5"/>
      <c r="F517" s="5"/>
      <c r="G517" s="4"/>
      <c r="H517" s="4"/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4"/>
      <c r="D518" s="4"/>
      <c r="E518" s="5"/>
      <c r="F518" s="5"/>
      <c r="G518" s="4"/>
      <c r="H518" s="4"/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4"/>
      <c r="D519" s="4"/>
      <c r="E519" s="5"/>
      <c r="F519" s="5"/>
      <c r="G519" s="4"/>
      <c r="H519" s="4"/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4"/>
      <c r="D520" s="4"/>
      <c r="E520" s="5"/>
      <c r="F520" s="5"/>
      <c r="G520" s="4"/>
      <c r="H520" s="4"/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4"/>
      <c r="D521" s="4"/>
      <c r="E521" s="5"/>
      <c r="F521" s="5"/>
      <c r="G521" s="4"/>
      <c r="H521" s="4"/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4"/>
      <c r="D522" s="4"/>
      <c r="E522" s="5"/>
      <c r="F522" s="5"/>
      <c r="G522" s="4"/>
      <c r="H522" s="4"/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4"/>
      <c r="D523" s="4"/>
      <c r="E523" s="5"/>
      <c r="F523" s="5"/>
      <c r="G523" s="4"/>
      <c r="H523" s="4"/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4"/>
      <c r="D524" s="4"/>
      <c r="E524" s="5"/>
      <c r="F524" s="5"/>
      <c r="G524" s="4"/>
      <c r="H524" s="4"/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4"/>
      <c r="D525" s="4"/>
      <c r="E525" s="5"/>
      <c r="F525" s="5"/>
      <c r="G525" s="4"/>
      <c r="H525" s="4"/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4"/>
      <c r="D526" s="4"/>
      <c r="E526" s="5"/>
      <c r="F526" s="5"/>
      <c r="G526" s="4"/>
      <c r="H526" s="4"/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4"/>
      <c r="D527" s="4"/>
      <c r="E527" s="5"/>
      <c r="F527" s="5"/>
      <c r="G527" s="4"/>
      <c r="H527" s="4"/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4"/>
      <c r="D528" s="4"/>
      <c r="E528" s="5"/>
      <c r="F528" s="5"/>
      <c r="G528" s="4"/>
      <c r="H528" s="4"/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4"/>
      <c r="D529" s="4"/>
      <c r="E529" s="5"/>
      <c r="F529" s="5"/>
      <c r="G529" s="4"/>
      <c r="H529" s="4"/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4"/>
      <c r="D530" s="4"/>
      <c r="E530" s="5"/>
      <c r="F530" s="5"/>
      <c r="G530" s="4"/>
      <c r="H530" s="4"/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4"/>
      <c r="D531" s="4"/>
      <c r="E531" s="5"/>
      <c r="F531" s="5"/>
      <c r="G531" s="4"/>
      <c r="H531" s="4"/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4"/>
      <c r="D532" s="4"/>
      <c r="E532" s="5"/>
      <c r="F532" s="5"/>
      <c r="G532" s="4"/>
      <c r="H532" s="4"/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4"/>
      <c r="D533" s="4"/>
      <c r="E533" s="5"/>
      <c r="F533" s="5"/>
      <c r="G533" s="4"/>
      <c r="H533" s="4"/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4"/>
      <c r="D534" s="4"/>
      <c r="E534" s="5"/>
      <c r="F534" s="5"/>
      <c r="G534" s="4"/>
      <c r="H534" s="4"/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4"/>
      <c r="D535" s="4"/>
      <c r="E535" s="5"/>
      <c r="F535" s="5"/>
      <c r="G535" s="4"/>
      <c r="H535" s="4"/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4"/>
      <c r="D536" s="4"/>
      <c r="E536" s="5"/>
      <c r="F536" s="5"/>
      <c r="G536" s="4"/>
      <c r="H536" s="4"/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4"/>
      <c r="D537" s="4"/>
      <c r="E537" s="5"/>
      <c r="F537" s="5"/>
      <c r="G537" s="4"/>
      <c r="H537" s="4"/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4"/>
      <c r="D538" s="4"/>
      <c r="E538" s="5"/>
      <c r="F538" s="5"/>
      <c r="G538" s="4"/>
      <c r="H538" s="4"/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4"/>
      <c r="D539" s="4"/>
      <c r="E539" s="5"/>
      <c r="F539" s="5"/>
      <c r="G539" s="4"/>
      <c r="H539" s="4"/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4"/>
      <c r="D540" s="4"/>
      <c r="E540" s="5"/>
      <c r="F540" s="5"/>
      <c r="G540" s="4"/>
      <c r="H540" s="4"/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4"/>
      <c r="D541" s="4"/>
      <c r="E541" s="5"/>
      <c r="F541" s="5"/>
      <c r="G541" s="4"/>
      <c r="H541" s="4"/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4"/>
      <c r="D542" s="4"/>
      <c r="E542" s="5"/>
      <c r="F542" s="5"/>
      <c r="G542" s="4"/>
      <c r="H542" s="4"/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4"/>
      <c r="D543" s="4"/>
      <c r="E543" s="5"/>
      <c r="F543" s="5"/>
      <c r="G543" s="4"/>
      <c r="H543" s="4"/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4"/>
      <c r="D544" s="4"/>
      <c r="E544" s="5"/>
      <c r="F544" s="5"/>
      <c r="G544" s="4"/>
      <c r="H544" s="4"/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4"/>
      <c r="D545" s="4"/>
      <c r="E545" s="5"/>
      <c r="F545" s="5"/>
      <c r="G545" s="4"/>
      <c r="H545" s="4"/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4"/>
      <c r="D546" s="4"/>
      <c r="E546" s="5"/>
      <c r="F546" s="5"/>
      <c r="G546" s="4"/>
      <c r="H546" s="4"/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4"/>
      <c r="D547" s="4"/>
      <c r="E547" s="5"/>
      <c r="F547" s="5"/>
      <c r="G547" s="4"/>
      <c r="H547" s="4"/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4"/>
      <c r="D548" s="4"/>
      <c r="E548" s="5"/>
      <c r="F548" s="5"/>
      <c r="G548" s="4"/>
      <c r="H548" s="4"/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4"/>
      <c r="D549" s="4"/>
      <c r="E549" s="5"/>
      <c r="F549" s="5"/>
      <c r="G549" s="4"/>
      <c r="H549" s="4"/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4"/>
      <c r="D550" s="4"/>
      <c r="E550" s="5"/>
      <c r="F550" s="5"/>
      <c r="G550" s="4"/>
      <c r="H550" s="4"/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4"/>
      <c r="D551" s="4"/>
      <c r="E551" s="5"/>
      <c r="F551" s="5"/>
      <c r="G551" s="4"/>
      <c r="H551" s="4"/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4"/>
      <c r="D552" s="4"/>
      <c r="E552" s="5"/>
      <c r="F552" s="5"/>
      <c r="G552" s="4"/>
      <c r="H552" s="4"/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4"/>
      <c r="D553" s="4"/>
      <c r="E553" s="5"/>
      <c r="F553" s="5"/>
      <c r="G553" s="4"/>
      <c r="H553" s="4"/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4"/>
      <c r="D554" s="4"/>
      <c r="E554" s="5"/>
      <c r="F554" s="5"/>
      <c r="G554" s="4"/>
      <c r="H554" s="4"/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4"/>
      <c r="D555" s="4"/>
      <c r="E555" s="5"/>
      <c r="F555" s="5"/>
      <c r="G555" s="4"/>
      <c r="H555" s="4"/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4"/>
      <c r="D556" s="4"/>
      <c r="E556" s="5"/>
      <c r="F556" s="5"/>
      <c r="G556" s="4"/>
      <c r="H556" s="4"/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4"/>
      <c r="D557" s="4"/>
      <c r="E557" s="5"/>
      <c r="F557" s="5"/>
      <c r="G557" s="4"/>
      <c r="H557" s="4"/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4"/>
      <c r="D558" s="4"/>
      <c r="E558" s="5"/>
      <c r="F558" s="5"/>
      <c r="G558" s="4"/>
      <c r="H558" s="4"/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4"/>
      <c r="D559" s="4"/>
      <c r="E559" s="5"/>
      <c r="F559" s="5"/>
      <c r="G559" s="4"/>
      <c r="H559" s="4"/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4"/>
      <c r="D560" s="4"/>
      <c r="E560" s="5"/>
      <c r="F560" s="5"/>
      <c r="G560" s="4"/>
      <c r="H560" s="4"/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4"/>
      <c r="D561" s="4"/>
      <c r="E561" s="5"/>
      <c r="F561" s="5"/>
      <c r="G561" s="4"/>
      <c r="H561" s="4"/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4"/>
      <c r="D562" s="4"/>
      <c r="E562" s="5"/>
      <c r="F562" s="5"/>
      <c r="G562" s="4"/>
      <c r="H562" s="4"/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4"/>
      <c r="D563" s="4"/>
      <c r="E563" s="5"/>
      <c r="F563" s="5"/>
      <c r="G563" s="4"/>
      <c r="H563" s="4"/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4"/>
      <c r="D564" s="4"/>
      <c r="E564" s="5"/>
      <c r="F564" s="5"/>
      <c r="G564" s="4"/>
      <c r="H564" s="4"/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4"/>
      <c r="D565" s="4"/>
      <c r="E565" s="5"/>
      <c r="F565" s="5"/>
      <c r="G565" s="4"/>
      <c r="H565" s="4"/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4"/>
      <c r="D566" s="4"/>
      <c r="E566" s="5"/>
      <c r="F566" s="5"/>
      <c r="G566" s="4"/>
      <c r="H566" s="4"/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4"/>
      <c r="D567" s="4"/>
      <c r="E567" s="5"/>
      <c r="F567" s="5"/>
      <c r="G567" s="4"/>
      <c r="H567" s="4"/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4"/>
      <c r="D568" s="4"/>
      <c r="E568" s="5"/>
      <c r="F568" s="5"/>
      <c r="G568" s="4"/>
      <c r="H568" s="4"/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4"/>
      <c r="D569" s="4"/>
      <c r="E569" s="5"/>
      <c r="F569" s="5"/>
      <c r="G569" s="4"/>
      <c r="H569" s="4"/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4"/>
      <c r="D570" s="4"/>
      <c r="E570" s="5"/>
      <c r="F570" s="5"/>
      <c r="G570" s="4"/>
      <c r="H570" s="4"/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4"/>
      <c r="D571" s="4"/>
      <c r="E571" s="5"/>
      <c r="F571" s="5"/>
      <c r="G571" s="4"/>
      <c r="H571" s="4"/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4"/>
      <c r="D572" s="4"/>
      <c r="E572" s="5"/>
      <c r="F572" s="5"/>
      <c r="G572" s="4"/>
      <c r="H572" s="4"/>
      <c r="I572" s="4"/>
      <c r="J572" s="4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4"/>
      <c r="D573" s="4"/>
      <c r="E573" s="5"/>
      <c r="F573" s="5"/>
      <c r="G573" s="4"/>
      <c r="H573" s="4"/>
      <c r="I573" s="4"/>
      <c r="J573" s="4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4"/>
      <c r="D574" s="4"/>
      <c r="E574" s="5"/>
      <c r="F574" s="5"/>
      <c r="G574" s="4"/>
      <c r="H574" s="4"/>
      <c r="I574" s="4"/>
      <c r="J574" s="4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4"/>
      <c r="D575" s="4"/>
      <c r="E575" s="5"/>
      <c r="F575" s="5"/>
      <c r="G575" s="4"/>
      <c r="H575" s="4"/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4"/>
      <c r="D576" s="4"/>
      <c r="E576" s="5"/>
      <c r="F576" s="5"/>
      <c r="G576" s="4"/>
      <c r="H576" s="4"/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4"/>
      <c r="D577" s="4"/>
      <c r="E577" s="5"/>
      <c r="F577" s="5"/>
      <c r="G577" s="4"/>
      <c r="H577" s="4"/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4"/>
      <c r="D578" s="4"/>
      <c r="E578" s="5"/>
      <c r="F578" s="5"/>
      <c r="G578" s="4"/>
      <c r="H578" s="4"/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4"/>
      <c r="D579" s="4"/>
      <c r="E579" s="5"/>
      <c r="F579" s="5"/>
      <c r="G579" s="4"/>
      <c r="H579" s="4"/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4"/>
      <c r="D580" s="4"/>
      <c r="E580" s="5"/>
      <c r="F580" s="5"/>
      <c r="G580" s="4"/>
      <c r="H580" s="4"/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4"/>
      <c r="D581" s="4"/>
      <c r="E581" s="5"/>
      <c r="F581" s="5"/>
      <c r="G581" s="4"/>
      <c r="H581" s="4"/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4"/>
      <c r="D582" s="4"/>
      <c r="E582" s="5"/>
      <c r="F582" s="5"/>
      <c r="G582" s="4"/>
      <c r="H582" s="4"/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4"/>
      <c r="D583" s="4"/>
      <c r="E583" s="5"/>
      <c r="F583" s="5"/>
      <c r="G583" s="4"/>
      <c r="H583" s="4"/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4"/>
      <c r="D584" s="4"/>
      <c r="E584" s="5"/>
      <c r="F584" s="5"/>
      <c r="G584" s="4"/>
      <c r="H584" s="4"/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4"/>
      <c r="D585" s="4"/>
      <c r="E585" s="5"/>
      <c r="F585" s="5"/>
      <c r="G585" s="4"/>
      <c r="H585" s="4"/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4"/>
      <c r="D586" s="4"/>
      <c r="E586" s="5"/>
      <c r="F586" s="5"/>
      <c r="G586" s="4"/>
      <c r="H586" s="4"/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4"/>
      <c r="D587" s="4"/>
      <c r="E587" s="5"/>
      <c r="F587" s="5"/>
      <c r="G587" s="4"/>
      <c r="H587" s="4"/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4"/>
      <c r="D588" s="4"/>
      <c r="E588" s="5"/>
      <c r="F588" s="5"/>
      <c r="G588" s="4"/>
      <c r="H588" s="4"/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4"/>
      <c r="D589" s="4"/>
      <c r="E589" s="5"/>
      <c r="F589" s="5"/>
      <c r="G589" s="4"/>
      <c r="H589" s="4"/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4"/>
      <c r="D590" s="4"/>
      <c r="E590" s="5"/>
      <c r="F590" s="5"/>
      <c r="G590" s="4"/>
      <c r="H590" s="4"/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4"/>
      <c r="D591" s="4"/>
      <c r="E591" s="5"/>
      <c r="F591" s="5"/>
      <c r="G591" s="4"/>
      <c r="H591" s="4"/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4"/>
      <c r="D592" s="4"/>
      <c r="E592" s="5"/>
      <c r="F592" s="5"/>
      <c r="G592" s="4"/>
      <c r="H592" s="4"/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4"/>
      <c r="D593" s="4"/>
      <c r="E593" s="5"/>
      <c r="F593" s="5"/>
      <c r="G593" s="4"/>
      <c r="H593" s="4"/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4"/>
      <c r="D594" s="4"/>
      <c r="E594" s="5"/>
      <c r="F594" s="5"/>
      <c r="G594" s="4"/>
      <c r="H594" s="4"/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4"/>
      <c r="D595" s="4"/>
      <c r="E595" s="5"/>
      <c r="F595" s="5"/>
      <c r="G595" s="4"/>
      <c r="H595" s="4"/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4"/>
      <c r="D596" s="4"/>
      <c r="E596" s="5"/>
      <c r="F596" s="5"/>
      <c r="G596" s="4"/>
      <c r="H596" s="4"/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4"/>
      <c r="D597" s="4"/>
      <c r="E597" s="5"/>
      <c r="F597" s="5"/>
      <c r="G597" s="4"/>
      <c r="H597" s="4"/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4"/>
      <c r="D598" s="4"/>
      <c r="E598" s="5"/>
      <c r="F598" s="5"/>
      <c r="G598" s="4"/>
      <c r="H598" s="4"/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4"/>
      <c r="D599" s="4"/>
      <c r="E599" s="5"/>
      <c r="F599" s="5"/>
      <c r="G599" s="4"/>
      <c r="H599" s="4"/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4"/>
      <c r="D600" s="4"/>
      <c r="E600" s="5"/>
      <c r="F600" s="5"/>
      <c r="G600" s="4"/>
      <c r="H600" s="4"/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4"/>
      <c r="D601" s="4"/>
      <c r="E601" s="5"/>
      <c r="F601" s="5"/>
      <c r="G601" s="4"/>
      <c r="H601" s="4"/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4"/>
      <c r="D602" s="4"/>
      <c r="E602" s="5"/>
      <c r="F602" s="5"/>
      <c r="G602" s="4"/>
      <c r="H602" s="4"/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4"/>
      <c r="D603" s="4"/>
      <c r="E603" s="5"/>
      <c r="F603" s="5"/>
      <c r="G603" s="4"/>
      <c r="H603" s="4"/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4"/>
      <c r="D604" s="4"/>
      <c r="E604" s="5"/>
      <c r="F604" s="5"/>
      <c r="G604" s="4"/>
      <c r="H604" s="4"/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4"/>
      <c r="D605" s="4"/>
      <c r="E605" s="5"/>
      <c r="F605" s="5"/>
      <c r="G605" s="4"/>
      <c r="H605" s="4"/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4"/>
      <c r="D606" s="4"/>
      <c r="E606" s="5"/>
      <c r="F606" s="5"/>
      <c r="G606" s="4"/>
      <c r="H606" s="4"/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4"/>
      <c r="D607" s="4"/>
      <c r="E607" s="5"/>
      <c r="F607" s="5"/>
      <c r="G607" s="4"/>
      <c r="H607" s="4"/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4"/>
      <c r="D608" s="4"/>
      <c r="E608" s="5"/>
      <c r="F608" s="5"/>
      <c r="G608" s="4"/>
      <c r="H608" s="4"/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4"/>
      <c r="D609" s="4"/>
      <c r="E609" s="5"/>
      <c r="F609" s="5"/>
      <c r="G609" s="4"/>
      <c r="H609" s="4"/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4"/>
      <c r="D610" s="4"/>
      <c r="E610" s="5"/>
      <c r="F610" s="5"/>
      <c r="G610" s="4"/>
      <c r="H610" s="4"/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4"/>
      <c r="D611" s="4"/>
      <c r="E611" s="5"/>
      <c r="F611" s="5"/>
      <c r="G611" s="4"/>
      <c r="H611" s="4"/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4"/>
      <c r="D612" s="4"/>
      <c r="E612" s="5"/>
      <c r="F612" s="5"/>
      <c r="G612" s="4"/>
      <c r="H612" s="4"/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4"/>
      <c r="D613" s="4"/>
      <c r="E613" s="5"/>
      <c r="F613" s="5"/>
      <c r="G613" s="4"/>
      <c r="H613" s="4"/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4"/>
      <c r="D614" s="4"/>
      <c r="E614" s="5"/>
      <c r="F614" s="5"/>
      <c r="G614" s="4"/>
      <c r="H614" s="4"/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4"/>
      <c r="D615" s="4"/>
      <c r="E615" s="5"/>
      <c r="F615" s="5"/>
      <c r="G615" s="4"/>
      <c r="H615" s="4"/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4"/>
      <c r="D616" s="4"/>
      <c r="E616" s="5"/>
      <c r="F616" s="5"/>
      <c r="G616" s="4"/>
      <c r="H616" s="4"/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4"/>
      <c r="D617" s="4"/>
      <c r="E617" s="5"/>
      <c r="F617" s="5"/>
      <c r="G617" s="4"/>
      <c r="H617" s="4"/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4"/>
      <c r="D618" s="4"/>
      <c r="E618" s="5"/>
      <c r="F618" s="5"/>
      <c r="G618" s="4"/>
      <c r="H618" s="4"/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4"/>
      <c r="D619" s="4"/>
      <c r="E619" s="5"/>
      <c r="F619" s="5"/>
      <c r="G619" s="4"/>
      <c r="H619" s="4"/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4"/>
      <c r="D620" s="4"/>
      <c r="E620" s="5"/>
      <c r="F620" s="5"/>
      <c r="G620" s="4"/>
      <c r="H620" s="4"/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4"/>
      <c r="D621" s="4"/>
      <c r="E621" s="5"/>
      <c r="F621" s="5"/>
      <c r="G621" s="4"/>
      <c r="H621" s="4"/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4"/>
      <c r="D622" s="4"/>
      <c r="E622" s="5"/>
      <c r="F622" s="5"/>
      <c r="G622" s="4"/>
      <c r="H622" s="4"/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4"/>
      <c r="D623" s="4"/>
      <c r="E623" s="5"/>
      <c r="F623" s="5"/>
      <c r="G623" s="4"/>
      <c r="H623" s="4"/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4"/>
      <c r="D624" s="4"/>
      <c r="E624" s="5"/>
      <c r="F624" s="5"/>
      <c r="G624" s="4"/>
      <c r="H624" s="4"/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4"/>
      <c r="D625" s="4"/>
      <c r="E625" s="5"/>
      <c r="F625" s="5"/>
      <c r="G625" s="4"/>
      <c r="H625" s="4"/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4"/>
      <c r="D626" s="4"/>
      <c r="E626" s="5"/>
      <c r="F626" s="5"/>
      <c r="G626" s="4"/>
      <c r="H626" s="4"/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4"/>
      <c r="D627" s="4"/>
      <c r="E627" s="5"/>
      <c r="F627" s="5"/>
      <c r="G627" s="4"/>
      <c r="H627" s="4"/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4"/>
      <c r="D628" s="4"/>
      <c r="E628" s="5"/>
      <c r="F628" s="5"/>
      <c r="G628" s="4"/>
      <c r="H628" s="4"/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4"/>
      <c r="D629" s="4"/>
      <c r="E629" s="5"/>
      <c r="F629" s="5"/>
      <c r="G629" s="4"/>
      <c r="H629" s="4"/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4"/>
      <c r="D630" s="4"/>
      <c r="E630" s="5"/>
      <c r="F630" s="5"/>
      <c r="G630" s="4"/>
      <c r="H630" s="4"/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4"/>
      <c r="D631" s="4"/>
      <c r="E631" s="5"/>
      <c r="F631" s="5"/>
      <c r="G631" s="4"/>
      <c r="H631" s="4"/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4"/>
      <c r="D632" s="4"/>
      <c r="E632" s="5"/>
      <c r="F632" s="5"/>
      <c r="G632" s="4"/>
      <c r="H632" s="4"/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4"/>
      <c r="D633" s="4"/>
      <c r="E633" s="5"/>
      <c r="F633" s="5"/>
      <c r="G633" s="4"/>
      <c r="H633" s="4"/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4"/>
      <c r="D634" s="4"/>
      <c r="E634" s="5"/>
      <c r="F634" s="5"/>
      <c r="G634" s="4"/>
      <c r="H634" s="4"/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4"/>
      <c r="D635" s="4"/>
      <c r="E635" s="5"/>
      <c r="F635" s="5"/>
      <c r="G635" s="4"/>
      <c r="H635" s="4"/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4"/>
      <c r="D636" s="4"/>
      <c r="E636" s="5"/>
      <c r="F636" s="5"/>
      <c r="G636" s="4"/>
      <c r="H636" s="4"/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4"/>
      <c r="D637" s="4"/>
      <c r="E637" s="5"/>
      <c r="F637" s="5"/>
      <c r="G637" s="4"/>
      <c r="H637" s="4"/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4"/>
      <c r="D638" s="4"/>
      <c r="E638" s="5"/>
      <c r="F638" s="5"/>
      <c r="G638" s="4"/>
      <c r="H638" s="4"/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4"/>
      <c r="D639" s="4"/>
      <c r="E639" s="5"/>
      <c r="F639" s="5"/>
      <c r="G639" s="4"/>
      <c r="H639" s="4"/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4"/>
      <c r="D640" s="4"/>
      <c r="E640" s="5"/>
      <c r="F640" s="5"/>
      <c r="G640" s="4"/>
      <c r="H640" s="4"/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4"/>
      <c r="D641" s="4"/>
      <c r="E641" s="5"/>
      <c r="F641" s="5"/>
      <c r="G641" s="4"/>
      <c r="H641" s="4"/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4"/>
      <c r="D642" s="4"/>
      <c r="E642" s="5"/>
      <c r="F642" s="5"/>
      <c r="G642" s="4"/>
      <c r="H642" s="4"/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4"/>
      <c r="D643" s="4"/>
      <c r="E643" s="5"/>
      <c r="F643" s="5"/>
      <c r="G643" s="4"/>
      <c r="H643" s="4"/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4"/>
      <c r="D644" s="4"/>
      <c r="E644" s="5"/>
      <c r="F644" s="5"/>
      <c r="G644" s="4"/>
      <c r="H644" s="4"/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4"/>
      <c r="D645" s="4"/>
      <c r="E645" s="5"/>
      <c r="F645" s="5"/>
      <c r="G645" s="4"/>
      <c r="H645" s="4"/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4"/>
      <c r="D646" s="4"/>
      <c r="E646" s="5"/>
      <c r="F646" s="5"/>
      <c r="G646" s="4"/>
      <c r="H646" s="4"/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4"/>
      <c r="D647" s="4"/>
      <c r="E647" s="5"/>
      <c r="F647" s="5"/>
      <c r="G647" s="4"/>
      <c r="H647" s="4"/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4"/>
      <c r="D648" s="4"/>
      <c r="E648" s="5"/>
      <c r="F648" s="5"/>
      <c r="G648" s="4"/>
      <c r="H648" s="4"/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4"/>
      <c r="D649" s="4"/>
      <c r="E649" s="5"/>
      <c r="F649" s="5"/>
      <c r="G649" s="4"/>
      <c r="H649" s="4"/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4"/>
      <c r="D650" s="4"/>
      <c r="E650" s="5"/>
      <c r="F650" s="5"/>
      <c r="G650" s="4"/>
      <c r="H650" s="4"/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4"/>
      <c r="D651" s="4"/>
      <c r="E651" s="5"/>
      <c r="F651" s="5"/>
      <c r="G651" s="4"/>
      <c r="H651" s="4"/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4"/>
      <c r="D652" s="4"/>
      <c r="E652" s="5"/>
      <c r="F652" s="5"/>
      <c r="G652" s="4"/>
      <c r="H652" s="4"/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4"/>
      <c r="D653" s="4"/>
      <c r="E653" s="5"/>
      <c r="F653" s="5"/>
      <c r="G653" s="4"/>
      <c r="H653" s="4"/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4"/>
      <c r="D654" s="4"/>
      <c r="E654" s="5"/>
      <c r="F654" s="5"/>
      <c r="G654" s="4"/>
      <c r="H654" s="4"/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4"/>
      <c r="D655" s="4"/>
      <c r="E655" s="5"/>
      <c r="F655" s="5"/>
      <c r="G655" s="4"/>
      <c r="H655" s="4"/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4"/>
      <c r="D656" s="4"/>
      <c r="E656" s="5"/>
      <c r="F656" s="5"/>
      <c r="G656" s="4"/>
      <c r="H656" s="4"/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4"/>
      <c r="D657" s="4"/>
      <c r="E657" s="5"/>
      <c r="F657" s="5"/>
      <c r="G657" s="4"/>
      <c r="H657" s="4"/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4"/>
      <c r="D658" s="4"/>
      <c r="E658" s="5"/>
      <c r="F658" s="5"/>
      <c r="G658" s="4"/>
      <c r="H658" s="4"/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4"/>
      <c r="D659" s="4"/>
      <c r="E659" s="5"/>
      <c r="F659" s="5"/>
      <c r="G659" s="4"/>
      <c r="H659" s="4"/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4"/>
      <c r="D660" s="4"/>
      <c r="E660" s="5"/>
      <c r="F660" s="5"/>
      <c r="G660" s="4"/>
      <c r="H660" s="4"/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4"/>
      <c r="D661" s="4"/>
      <c r="E661" s="5"/>
      <c r="F661" s="5"/>
      <c r="G661" s="4"/>
      <c r="H661" s="4"/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4"/>
      <c r="D662" s="4"/>
      <c r="E662" s="5"/>
      <c r="F662" s="5"/>
      <c r="G662" s="4"/>
      <c r="H662" s="4"/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4"/>
      <c r="D663" s="4"/>
      <c r="E663" s="5"/>
      <c r="F663" s="5"/>
      <c r="G663" s="4"/>
      <c r="H663" s="4"/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4"/>
      <c r="D664" s="4"/>
      <c r="E664" s="5"/>
      <c r="F664" s="5"/>
      <c r="G664" s="4"/>
      <c r="H664" s="4"/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4"/>
      <c r="D665" s="4"/>
      <c r="E665" s="5"/>
      <c r="F665" s="5"/>
      <c r="G665" s="4"/>
      <c r="H665" s="4"/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4"/>
      <c r="D666" s="4"/>
      <c r="E666" s="5"/>
      <c r="F666" s="5"/>
      <c r="G666" s="4"/>
      <c r="H666" s="4"/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4"/>
      <c r="D667" s="4"/>
      <c r="E667" s="5"/>
      <c r="F667" s="5"/>
      <c r="G667" s="4"/>
      <c r="H667" s="4"/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4"/>
      <c r="D668" s="4"/>
      <c r="E668" s="5"/>
      <c r="F668" s="5"/>
      <c r="G668" s="4"/>
      <c r="H668" s="4"/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4"/>
      <c r="D669" s="4"/>
      <c r="E669" s="5"/>
      <c r="F669" s="5"/>
      <c r="G669" s="4"/>
      <c r="H669" s="4"/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4"/>
      <c r="D670" s="4"/>
      <c r="E670" s="5"/>
      <c r="F670" s="5"/>
      <c r="G670" s="4"/>
      <c r="H670" s="4"/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4"/>
      <c r="D671" s="4"/>
      <c r="E671" s="5"/>
      <c r="F671" s="5"/>
      <c r="G671" s="4"/>
      <c r="H671" s="4"/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4"/>
      <c r="D672" s="4"/>
      <c r="E672" s="5"/>
      <c r="F672" s="5"/>
      <c r="G672" s="4"/>
      <c r="H672" s="4"/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4"/>
      <c r="D673" s="4"/>
      <c r="E673" s="5"/>
      <c r="F673" s="5"/>
      <c r="G673" s="4"/>
      <c r="H673" s="4"/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4"/>
      <c r="D674" s="4"/>
      <c r="E674" s="5"/>
      <c r="F674" s="5"/>
      <c r="G674" s="4"/>
      <c r="H674" s="4"/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4"/>
      <c r="D675" s="4"/>
      <c r="E675" s="5"/>
      <c r="F675" s="5"/>
      <c r="G675" s="4"/>
      <c r="H675" s="4"/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4"/>
      <c r="D676" s="4"/>
      <c r="E676" s="5"/>
      <c r="F676" s="5"/>
      <c r="G676" s="4"/>
      <c r="H676" s="4"/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4"/>
      <c r="D677" s="4"/>
      <c r="E677" s="5"/>
      <c r="F677" s="5"/>
      <c r="G677" s="4"/>
      <c r="H677" s="4"/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4"/>
      <c r="D678" s="4"/>
      <c r="E678" s="5"/>
      <c r="F678" s="5"/>
      <c r="G678" s="4"/>
      <c r="H678" s="4"/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4"/>
      <c r="D679" s="4"/>
      <c r="E679" s="5"/>
      <c r="F679" s="5"/>
      <c r="G679" s="4"/>
      <c r="H679" s="4"/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4"/>
      <c r="D680" s="4"/>
      <c r="E680" s="5"/>
      <c r="F680" s="5"/>
      <c r="G680" s="4"/>
      <c r="H680" s="4"/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4"/>
      <c r="D681" s="4"/>
      <c r="E681" s="5"/>
      <c r="F681" s="5"/>
      <c r="G681" s="4"/>
      <c r="H681" s="4"/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4"/>
      <c r="D682" s="4"/>
      <c r="E682" s="5"/>
      <c r="F682" s="5"/>
      <c r="G682" s="4"/>
      <c r="H682" s="4"/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4"/>
      <c r="D683" s="4"/>
      <c r="E683" s="5"/>
      <c r="F683" s="5"/>
      <c r="G683" s="4"/>
      <c r="H683" s="4"/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4"/>
      <c r="D684" s="4"/>
      <c r="E684" s="5"/>
      <c r="F684" s="5"/>
      <c r="G684" s="4"/>
      <c r="H684" s="4"/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4"/>
      <c r="D685" s="4"/>
      <c r="E685" s="5"/>
      <c r="F685" s="5"/>
      <c r="G685" s="4"/>
      <c r="H685" s="4"/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4"/>
      <c r="D686" s="4"/>
      <c r="E686" s="5"/>
      <c r="F686" s="5"/>
      <c r="G686" s="4"/>
      <c r="H686" s="4"/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4"/>
      <c r="D687" s="4"/>
      <c r="E687" s="5"/>
      <c r="F687" s="5"/>
      <c r="G687" s="4"/>
      <c r="H687" s="4"/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4"/>
      <c r="D688" s="4"/>
      <c r="E688" s="5"/>
      <c r="F688" s="5"/>
      <c r="G688" s="4"/>
      <c r="H688" s="4"/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4"/>
      <c r="D689" s="4"/>
      <c r="E689" s="5"/>
      <c r="F689" s="5"/>
      <c r="G689" s="4"/>
      <c r="H689" s="4"/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4"/>
      <c r="D690" s="4"/>
      <c r="E690" s="5"/>
      <c r="F690" s="5"/>
      <c r="G690" s="4"/>
      <c r="H690" s="4"/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4"/>
      <c r="D691" s="4"/>
      <c r="E691" s="5"/>
      <c r="F691" s="5"/>
      <c r="G691" s="4"/>
      <c r="H691" s="4"/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4"/>
      <c r="D692" s="4"/>
      <c r="E692" s="5"/>
      <c r="F692" s="5"/>
      <c r="G692" s="4"/>
      <c r="H692" s="4"/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4"/>
      <c r="D693" s="4"/>
      <c r="E693" s="5"/>
      <c r="F693" s="5"/>
      <c r="G693" s="4"/>
      <c r="H693" s="4"/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4"/>
      <c r="D694" s="4"/>
      <c r="E694" s="5"/>
      <c r="F694" s="5"/>
      <c r="G694" s="4"/>
      <c r="H694" s="4"/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4"/>
      <c r="D695" s="4"/>
      <c r="E695" s="5"/>
      <c r="F695" s="5"/>
      <c r="G695" s="4"/>
      <c r="H695" s="4"/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4"/>
      <c r="D696" s="4"/>
      <c r="E696" s="5"/>
      <c r="F696" s="5"/>
      <c r="G696" s="4"/>
      <c r="H696" s="4"/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4"/>
      <c r="D697" s="4"/>
      <c r="E697" s="5"/>
      <c r="F697" s="5"/>
      <c r="G697" s="4"/>
      <c r="H697" s="4"/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4"/>
      <c r="D698" s="4"/>
      <c r="E698" s="5"/>
      <c r="F698" s="5"/>
      <c r="G698" s="4"/>
      <c r="H698" s="4"/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4"/>
      <c r="D699" s="4"/>
      <c r="E699" s="5"/>
      <c r="F699" s="5"/>
      <c r="G699" s="4"/>
      <c r="H699" s="4"/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4"/>
      <c r="D700" s="4"/>
      <c r="E700" s="5"/>
      <c r="F700" s="5"/>
      <c r="G700" s="4"/>
      <c r="H700" s="4"/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4"/>
      <c r="D701" s="4"/>
      <c r="E701" s="5"/>
      <c r="F701" s="5"/>
      <c r="G701" s="4"/>
      <c r="H701" s="4"/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4"/>
      <c r="D702" s="4"/>
      <c r="E702" s="5"/>
      <c r="F702" s="5"/>
      <c r="G702" s="4"/>
      <c r="H702" s="4"/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4"/>
      <c r="D703" s="4"/>
      <c r="E703" s="5"/>
      <c r="F703" s="5"/>
      <c r="G703" s="4"/>
      <c r="H703" s="4"/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4"/>
      <c r="D704" s="4"/>
      <c r="E704" s="5"/>
      <c r="F704" s="5"/>
      <c r="G704" s="4"/>
      <c r="H704" s="4"/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4"/>
      <c r="D705" s="4"/>
      <c r="E705" s="5"/>
      <c r="F705" s="5"/>
      <c r="G705" s="4"/>
      <c r="H705" s="4"/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4"/>
      <c r="D706" s="4"/>
      <c r="E706" s="5"/>
      <c r="F706" s="5"/>
      <c r="G706" s="4"/>
      <c r="H706" s="4"/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4"/>
      <c r="D707" s="4"/>
      <c r="E707" s="5"/>
      <c r="F707" s="5"/>
      <c r="G707" s="4"/>
      <c r="H707" s="4"/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4"/>
      <c r="D708" s="4"/>
      <c r="E708" s="5"/>
      <c r="F708" s="5"/>
      <c r="G708" s="4"/>
      <c r="H708" s="4"/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4"/>
      <c r="D709" s="4"/>
      <c r="E709" s="5"/>
      <c r="F709" s="5"/>
      <c r="G709" s="4"/>
      <c r="H709" s="4"/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4"/>
      <c r="D710" s="4"/>
      <c r="E710" s="5"/>
      <c r="F710" s="5"/>
      <c r="G710" s="4"/>
      <c r="H710" s="4"/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4"/>
      <c r="D711" s="4"/>
      <c r="E711" s="5"/>
      <c r="F711" s="5"/>
      <c r="G711" s="4"/>
      <c r="H711" s="4"/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4"/>
      <c r="D712" s="4"/>
      <c r="E712" s="5"/>
      <c r="F712" s="5"/>
      <c r="G712" s="4"/>
      <c r="H712" s="4"/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4"/>
      <c r="D713" s="4"/>
      <c r="E713" s="5"/>
      <c r="F713" s="5"/>
      <c r="G713" s="4"/>
      <c r="H713" s="4"/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4"/>
      <c r="D714" s="4"/>
      <c r="E714" s="5"/>
      <c r="F714" s="5"/>
      <c r="G714" s="4"/>
      <c r="H714" s="4"/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4"/>
      <c r="D715" s="4"/>
      <c r="E715" s="5"/>
      <c r="F715" s="5"/>
      <c r="G715" s="4"/>
      <c r="H715" s="4"/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4"/>
      <c r="D716" s="4"/>
      <c r="E716" s="5"/>
      <c r="F716" s="5"/>
      <c r="G716" s="4"/>
      <c r="H716" s="4"/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4"/>
      <c r="D717" s="4"/>
      <c r="E717" s="5"/>
      <c r="F717" s="5"/>
      <c r="G717" s="4"/>
      <c r="H717" s="4"/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4"/>
      <c r="D718" s="4"/>
      <c r="E718" s="5"/>
      <c r="F718" s="5"/>
      <c r="G718" s="4"/>
      <c r="H718" s="4"/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4"/>
      <c r="D719" s="4"/>
      <c r="E719" s="5"/>
      <c r="F719" s="5"/>
      <c r="G719" s="4"/>
      <c r="H719" s="4"/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4"/>
      <c r="D720" s="4"/>
      <c r="E720" s="5"/>
      <c r="F720" s="5"/>
      <c r="G720" s="4"/>
      <c r="H720" s="4"/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4"/>
      <c r="D721" s="4"/>
      <c r="E721" s="5"/>
      <c r="F721" s="5"/>
      <c r="G721" s="4"/>
      <c r="H721" s="4"/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4"/>
      <c r="D722" s="4"/>
      <c r="E722" s="5"/>
      <c r="F722" s="5"/>
      <c r="G722" s="4"/>
      <c r="H722" s="4"/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4"/>
      <c r="D723" s="4"/>
      <c r="E723" s="5"/>
      <c r="F723" s="5"/>
      <c r="G723" s="4"/>
      <c r="H723" s="4"/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4"/>
      <c r="D724" s="4"/>
      <c r="E724" s="5"/>
      <c r="F724" s="5"/>
      <c r="G724" s="4"/>
      <c r="H724" s="4"/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4"/>
      <c r="D725" s="4"/>
      <c r="E725" s="5"/>
      <c r="F725" s="5"/>
      <c r="G725" s="4"/>
      <c r="H725" s="4"/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4"/>
      <c r="D726" s="4"/>
      <c r="E726" s="5"/>
      <c r="F726" s="5"/>
      <c r="G726" s="4"/>
      <c r="H726" s="4"/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4"/>
      <c r="D727" s="4"/>
      <c r="E727" s="5"/>
      <c r="F727" s="5"/>
      <c r="G727" s="4"/>
      <c r="H727" s="4"/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4"/>
      <c r="D728" s="4"/>
      <c r="E728" s="5"/>
      <c r="F728" s="5"/>
      <c r="G728" s="4"/>
      <c r="H728" s="4"/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4"/>
      <c r="D729" s="4"/>
      <c r="E729" s="5"/>
      <c r="F729" s="5"/>
      <c r="G729" s="4"/>
      <c r="H729" s="4"/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4"/>
      <c r="D730" s="4"/>
      <c r="E730" s="5"/>
      <c r="F730" s="5"/>
      <c r="G730" s="4"/>
      <c r="H730" s="4"/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4"/>
      <c r="D731" s="4"/>
      <c r="E731" s="5"/>
      <c r="F731" s="5"/>
      <c r="G731" s="4"/>
      <c r="H731" s="4"/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4"/>
      <c r="D732" s="4"/>
      <c r="E732" s="5"/>
      <c r="F732" s="5"/>
      <c r="G732" s="4"/>
      <c r="H732" s="4"/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4"/>
      <c r="D733" s="4"/>
      <c r="E733" s="5"/>
      <c r="F733" s="5"/>
      <c r="G733" s="4"/>
      <c r="H733" s="4"/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4"/>
      <c r="D734" s="4"/>
      <c r="E734" s="5"/>
      <c r="F734" s="5"/>
      <c r="G734" s="4"/>
      <c r="H734" s="4"/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4"/>
      <c r="D735" s="4"/>
      <c r="E735" s="5"/>
      <c r="F735" s="5"/>
      <c r="G735" s="4"/>
      <c r="H735" s="4"/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4"/>
      <c r="D736" s="4"/>
      <c r="E736" s="5"/>
      <c r="F736" s="5"/>
      <c r="G736" s="4"/>
      <c r="H736" s="4"/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4"/>
      <c r="D737" s="4"/>
      <c r="E737" s="5"/>
      <c r="F737" s="5"/>
      <c r="G737" s="4"/>
      <c r="H737" s="4"/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4"/>
      <c r="D738" s="4"/>
      <c r="E738" s="5"/>
      <c r="F738" s="5"/>
      <c r="G738" s="4"/>
      <c r="H738" s="4"/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4"/>
      <c r="D739" s="4"/>
      <c r="E739" s="5"/>
      <c r="F739" s="5"/>
      <c r="G739" s="4"/>
      <c r="H739" s="4"/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4"/>
      <c r="D740" s="4"/>
      <c r="E740" s="5"/>
      <c r="F740" s="5"/>
      <c r="G740" s="4"/>
      <c r="H740" s="4"/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4"/>
      <c r="D741" s="4"/>
      <c r="E741" s="5"/>
      <c r="F741" s="5"/>
      <c r="G741" s="4"/>
      <c r="H741" s="4"/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4"/>
      <c r="D742" s="4"/>
      <c r="E742" s="5"/>
      <c r="F742" s="5"/>
      <c r="G742" s="4"/>
      <c r="H742" s="4"/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4"/>
      <c r="D743" s="4"/>
      <c r="E743" s="5"/>
      <c r="F743" s="5"/>
      <c r="G743" s="4"/>
      <c r="H743" s="4"/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4"/>
      <c r="D744" s="4"/>
      <c r="E744" s="5"/>
      <c r="F744" s="5"/>
      <c r="G744" s="4"/>
      <c r="H744" s="4"/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4"/>
      <c r="D745" s="4"/>
      <c r="E745" s="5"/>
      <c r="F745" s="5"/>
      <c r="G745" s="4"/>
      <c r="H745" s="4"/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4"/>
      <c r="D746" s="4"/>
      <c r="E746" s="5"/>
      <c r="F746" s="5"/>
      <c r="G746" s="4"/>
      <c r="H746" s="4"/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4"/>
      <c r="D747" s="4"/>
      <c r="E747" s="5"/>
      <c r="F747" s="5"/>
      <c r="G747" s="4"/>
      <c r="H747" s="4"/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4"/>
      <c r="D748" s="4"/>
      <c r="E748" s="5"/>
      <c r="F748" s="5"/>
      <c r="G748" s="4"/>
      <c r="H748" s="4"/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4"/>
      <c r="D749" s="4"/>
      <c r="E749" s="5"/>
      <c r="F749" s="5"/>
      <c r="G749" s="4"/>
      <c r="H749" s="4"/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4"/>
      <c r="D750" s="4"/>
      <c r="E750" s="5"/>
      <c r="F750" s="5"/>
      <c r="G750" s="4"/>
      <c r="H750" s="4"/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4"/>
      <c r="D751" s="4"/>
      <c r="E751" s="5"/>
      <c r="F751" s="5"/>
      <c r="G751" s="4"/>
      <c r="H751" s="4"/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4"/>
      <c r="D752" s="4"/>
      <c r="E752" s="5"/>
      <c r="F752" s="5"/>
      <c r="G752" s="4"/>
      <c r="H752" s="4"/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4"/>
      <c r="D753" s="4"/>
      <c r="E753" s="5"/>
      <c r="F753" s="5"/>
      <c r="G753" s="4"/>
      <c r="H753" s="4"/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4"/>
      <c r="D754" s="4"/>
      <c r="E754" s="5"/>
      <c r="F754" s="5"/>
      <c r="G754" s="4"/>
      <c r="H754" s="4"/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4"/>
      <c r="D755" s="4"/>
      <c r="E755" s="5"/>
      <c r="F755" s="5"/>
      <c r="G755" s="4"/>
      <c r="H755" s="4"/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4"/>
      <c r="D756" s="4"/>
      <c r="E756" s="5"/>
      <c r="F756" s="5"/>
      <c r="G756" s="4"/>
      <c r="H756" s="4"/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4"/>
      <c r="D757" s="4"/>
      <c r="E757" s="5"/>
      <c r="F757" s="5"/>
      <c r="G757" s="4"/>
      <c r="H757" s="4"/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4"/>
      <c r="D758" s="4"/>
      <c r="E758" s="5"/>
      <c r="F758" s="5"/>
      <c r="G758" s="4"/>
      <c r="H758" s="4"/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4"/>
      <c r="D759" s="4"/>
      <c r="E759" s="5"/>
      <c r="F759" s="5"/>
      <c r="G759" s="4"/>
      <c r="H759" s="4"/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4"/>
      <c r="D760" s="4"/>
      <c r="E760" s="5"/>
      <c r="F760" s="5"/>
      <c r="G760" s="4"/>
      <c r="H760" s="4"/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4"/>
      <c r="D761" s="4"/>
      <c r="E761" s="5"/>
      <c r="F761" s="5"/>
      <c r="G761" s="4"/>
      <c r="H761" s="4"/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4"/>
      <c r="D762" s="4"/>
      <c r="E762" s="5"/>
      <c r="F762" s="5"/>
      <c r="G762" s="4"/>
      <c r="H762" s="4"/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4"/>
      <c r="D763" s="4"/>
      <c r="E763" s="5"/>
      <c r="F763" s="5"/>
      <c r="G763" s="4"/>
      <c r="H763" s="4"/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4"/>
      <c r="D764" s="4"/>
      <c r="E764" s="5"/>
      <c r="F764" s="5"/>
      <c r="G764" s="4"/>
      <c r="H764" s="4"/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4"/>
      <c r="D765" s="4"/>
      <c r="E765" s="5"/>
      <c r="F765" s="5"/>
      <c r="G765" s="4"/>
      <c r="H765" s="4"/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4"/>
      <c r="D766" s="4"/>
      <c r="E766" s="5"/>
      <c r="F766" s="5"/>
      <c r="G766" s="4"/>
      <c r="H766" s="4"/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4"/>
      <c r="D767" s="4"/>
      <c r="E767" s="5"/>
      <c r="F767" s="5"/>
      <c r="G767" s="4"/>
      <c r="H767" s="4"/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4"/>
      <c r="D768" s="4"/>
      <c r="E768" s="5"/>
      <c r="F768" s="5"/>
      <c r="G768" s="4"/>
      <c r="H768" s="4"/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4"/>
      <c r="D769" s="4"/>
      <c r="E769" s="5"/>
      <c r="F769" s="5"/>
      <c r="G769" s="4"/>
      <c r="H769" s="4"/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4"/>
      <c r="D770" s="4"/>
      <c r="E770" s="5"/>
      <c r="F770" s="5"/>
      <c r="G770" s="4"/>
      <c r="H770" s="4"/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4"/>
      <c r="D771" s="4"/>
      <c r="E771" s="5"/>
      <c r="F771" s="5"/>
      <c r="G771" s="4"/>
      <c r="H771" s="4"/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4"/>
      <c r="D772" s="4"/>
      <c r="E772" s="5"/>
      <c r="F772" s="5"/>
      <c r="G772" s="4"/>
      <c r="H772" s="4"/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4"/>
      <c r="D773" s="4"/>
      <c r="E773" s="5"/>
      <c r="F773" s="5"/>
      <c r="G773" s="4"/>
      <c r="H773" s="4"/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</sheetData>
  <autoFilter ref="$A$1:$AJ$773"/>
  <drawing r:id="rId1"/>
</worksheet>
</file>